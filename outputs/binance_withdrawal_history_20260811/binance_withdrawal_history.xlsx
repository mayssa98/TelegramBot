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358726fc4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3ca069fdf844cf"/>
    <x:sheet xmlns:r="http://schemas.openxmlformats.org/officeDocument/2006/relationships" name="Withdrawal History" sheetId="2" r:id="R5bf8bda7ef7c4bd3"/>
    <x:sheet xmlns:r="http://schemas.openxmlformats.org/officeDocument/2006/relationships" name="Sources &amp; Notes" sheetId="3" r:id="R9d692c7f2e26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00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111827"/>
      <x:name val="Carlito"/>
    </x:font>
    <x:font>
      <x:b/>
      <x:sz val="15"/>
      <x:color rgb="FF0B1F3A"/>
      <x:name val="Carlito"/>
    </x:font>
    <x:font>
      <x:b/>
      <x:sz val="11"/>
      <x:color rgb="FFFFFFFF"/>
      <x:name val="Carlito"/>
    </x:font>
    <x:font>
      <x:b/>
      <x:sz val="11"/>
      <x:color rgb="FF0B1F3A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EEF7"/>
      </x:patternFill>
    </x:fill>
    <x:fill>
      <x:patternFill patternType="solid">
        <x:fgColor rgb="FFF0B90B"/>
      </x:patternFill>
    </x:fill>
    <x:fill>
      <x:patternFill patternType="solid">
        <x:fgColor rgb="FFDDE6F2"/>
      </x:patternFill>
    </x:fill>
  </x:fills>
  <x:borders count="14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94A3B8"/>
      </x:bottom>
    </x:border>
    <x:border>
      <x:left style="thin">
        <x:color rgb="FFA67C00"/>
      </x:left>
      <x:top style="thin">
        <x:color rgb="FFA67C00"/>
      </x:top>
      <x:bottom style="thin">
        <x:color rgb="FFA67C00"/>
      </x:bottom>
    </x:border>
    <x:border>
      <x:top style="thin">
        <x:color rgb="FFA67C00"/>
      </x:top>
      <x:bottom style="thin">
        <x:color rgb="FFA67C00"/>
      </x:bottom>
    </x:border>
    <x:border>
      <x:right style="thin">
        <x:color rgb="FFA67C00"/>
      </x:right>
      <x:top style="thin">
        <x:color rgb="FFA67C00"/>
      </x:top>
      <x:bottom style="thin">
        <x:color rgb="FFA67C0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201" fontId="0" fillId="0" borderId="0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7" fillId="2" borderId="0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0"/>
    </x:xf>
    <x:xf numFmtId="0" fontId="3" fillId="4" borderId="4" xfId="0" applyNumberFormat="1" applyFont="1" applyFill="1" applyBorder="1"/>
    <x:xf numFmtId="0" fontId="0" fillId="0" borderId="12" xfId="0" applyNumberFormat="1" applyFont="1" applyFill="1" applyBorder="1"/>
    <x:xf numFmtId="20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8c72a5d1c4a41" /><Relationship Type="http://schemas.openxmlformats.org/officeDocument/2006/relationships/theme" Target="/xl/theme/theme1.xml" Id="Rcff84aefa72c4366" /><Relationship Type="http://schemas.openxmlformats.org/officeDocument/2006/relationships/sharedStrings" Target="/xl/sharedStrings.xml" Id="R35ae06dcce674902" /><Relationship Type="http://schemas.openxmlformats.org/officeDocument/2006/relationships/worksheet" Target="/xl/worksheets/sheet1.xml" Id="R663ca069fdf844cf" /><Relationship Type="http://schemas.openxmlformats.org/officeDocument/2006/relationships/worksheet" Target="/xl/worksheets/sheet2.xml" Id="R5bf8bda7ef7c4bd3" /><Relationship Type="http://schemas.openxmlformats.org/officeDocument/2006/relationships/worksheet" Target="/xl/worksheets/sheet3.xml" Id="R9d692c7f2e26453f" /></Relationships>
</file>

<file path=xl/tables/table1.xml><?xml version="1.0" encoding="utf-8"?>
<x:table xmlns:x="http://schemas.openxmlformats.org/spreadsheetml/2006/main" id="1" name="WithdrawalHistoryTable" displayName="WithdrawalHistoryTable" ref="A4:N58" headerRowCount="1" totalsRowCount="0" totalsRowShown="0">
  <x:tableColumns count="14">
    <x:tableColumn id="1" name="Apply Time (UTC)"/>
    <x:tableColumn id="2" name="Complete Time (UTC)"/>
    <x:tableColumn id="3" name="Asset"/>
    <x:tableColumn id="4" name="Amount"/>
    <x:tableColumn id="5" name="Fee"/>
    <x:tableColumn id="6" name="Network"/>
    <x:tableColumn id="7" name="Status"/>
    <x:tableColumn id="8" name="Transfer Type"/>
    <x:tableColumn id="9" name="Wallet"/>
    <x:tableColumn id="10" name="Destination (masked)"/>
    <x:tableColumn id="11" name="TxID (masked)"/>
    <x:tableColumn id="12" name="Withdrawal ID (masked)"/>
    <x:tableColumn id="13" name="Client Order ID"/>
    <x:tableColumn id="14" name="Inf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331fc39a6040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3" t="str">
        <x:v>Binance Crypto Withdrawal History</x:v>
      </x:c>
      <x:c r="B1" s="3" t="str">
        <x:v>Binance Crypto Withdrawal History</x:v>
      </x:c>
      <x:c r="C1" s="3" t="str">
        <x:v>Binance Crypto Withdrawal History</x:v>
      </x:c>
      <x:c r="D1" s="3" t="str">
        <x:v>Binance Crypto Withdrawal History</x:v>
      </x:c>
      <x:c r="E1" s="3" t="str">
        <x:v>Binance Crypto Withdrawal History</x:v>
      </x:c>
    </x:row>
    <x:row r="2" ht="32" customHeight="1">
      <x:c r="A2" s="6" t="str">
        <x:v>Read-only export retrieved 2026-08-11 22:26:52 UTC · destination addresses and transaction identifiers are masked</x:v>
      </x:c>
      <x:c r="B2" s="6" t="str">
        <x:v>Read-only export retrieved 2026-08-11 22:26:52 UTC · destination addresses and transaction identifiers are masked</x:v>
      </x:c>
      <x:c r="C2" s="6" t="str">
        <x:v>Read-only export retrieved 2026-08-11 22:26:52 UTC · destination addresses and transaction identifiers are masked</x:v>
      </x:c>
      <x:c r="D2" s="6" t="str">
        <x:v>Read-only export retrieved 2026-08-11 22:26:52 UTC · destination addresses and transaction identifiers are masked</x:v>
      </x:c>
      <x:c r="E2" s="6" t="str">
        <x:v>Read-only export retrieved 2026-08-11 22:26:52 UTC · destination addresses and transaction identifiers are masked</x:v>
      </x:c>
    </x:row>
    <x:row r="4">
      <x:c r="A4" s="9" t="str">
        <x:v>Total Records</x:v>
      </x:c>
      <x:c r="B4" s="9" t="str">
        <x:v>Completed</x:v>
      </x:c>
      <x:c r="C4" s="9" t="str">
        <x:v>Assets</x:v>
      </x:c>
      <x:c r="D4" s="9" t="str">
        <x:v>First Withdrawal</x:v>
      </x:c>
      <x:c r="E4" s="9" t="str">
        <x:v>Latest Withdrawal</x:v>
      </x:c>
    </x:row>
    <x:row r="5">
      <x:c r="A5" s="11" t="n">
        <x:f>COUNTA('Withdrawal History'!$A$5:$A$58)</x:f>
        <x:v>54</x:v>
      </x:c>
      <x:c r="B5" s="11" t="n">
        <x:f>COUNTIF('Withdrawal History'!$G$5:$G$58,"Completed")</x:f>
        <x:v>54</x:v>
      </x:c>
      <x:c r="C5" s="11" t="n">
        <x:f>COUNTA(A10:A11)</x:f>
        <x:v>2</x:v>
      </x:c>
      <x:c r="D5" s="13" t="n">
        <x:f>MIN('Withdrawal History'!$A$5:$A$58)</x:f>
        <x:v>45507.683171296296</x:v>
      </x:c>
      <x:c r="E5" s="13" t="n">
        <x:f>MAX('Withdrawal History'!$A$5:$A$58)</x:f>
        <x:v>46243.78496527778</x:v>
      </x:c>
    </x:row>
    <x:row r="8">
      <x:c r="A8" s="14" t="str">
        <x:v>Activity by Asset</x:v>
      </x:c>
      <x:c r="B8" s="14" t="str">
        <x:v>Activity by Asset</x:v>
      </x:c>
      <x:c r="C8" s="14" t="str">
        <x:v>Activity by Asset</x:v>
      </x:c>
      <x:c r="D8" s="14" t="str">
        <x:v>Activity by Asset</x:v>
      </x:c>
      <x:c r="E8" s="14" t="str">
        <x:v>Activity by Asset</x:v>
      </x:c>
    </x:row>
    <x:row r="9">
      <x:c r="A9" s="17" t="str">
        <x:v>Asset</x:v>
      </x:c>
      <x:c r="B9" s="18" t="str">
        <x:v>Withdrawals</x:v>
      </x:c>
      <x:c r="C9" s="18" t="str">
        <x:v>Total Amount</x:v>
      </x:c>
      <x:c r="D9" s="18" t="str">
        <x:v>Total Fees</x:v>
      </x:c>
      <x:c r="E9" s="19" t="str">
        <x:v>Completed</x:v>
      </x:c>
    </x:row>
    <x:row r="10">
      <x:c r="A10" s="21" t="str">
        <x:v>BNB</x:v>
      </x:c>
      <x:c r="B10" s="21" t="n">
        <x:f>COUNTIF('Withdrawal History'!$C$5:$C$58,A10)</x:f>
        <x:v>2</x:v>
      </x:c>
      <x:c r="C10" s="22" t="n">
        <x:f>SUMIF('Withdrawal History'!$C$5:$C$58,A10,'Withdrawal History'!$D$5:$D$58)</x:f>
        <x:v>0.01780614</x:v>
      </x:c>
      <x:c r="D10" s="22" t="n">
        <x:f>SUMIF('Withdrawal History'!$C$5:$C$58,A10,'Withdrawal History'!$E$5:$E$58)</x:f>
        <x:v>0.00002</x:v>
      </x:c>
      <x:c r="E10" s="21" t="n">
        <x:f>COUNTIFS('Withdrawal History'!$C$5:$C$58,A10,'Withdrawal History'!$G$5:$G$58,"Completed")</x:f>
        <x:v>2</x:v>
      </x:c>
    </x:row>
    <x:row r="11">
      <x:c r="A11" s="23" t="str">
        <x:v>USDT</x:v>
      </x:c>
      <x:c r="B11" s="23" t="n">
        <x:f>COUNTIF('Withdrawal History'!$C$5:$C$58,A11)</x:f>
        <x:v>52</x:v>
      </x:c>
      <x:c r="C11" s="24" t="n">
        <x:f>SUMIF('Withdrawal History'!$C$5:$C$58,A11,'Withdrawal History'!$D$5:$D$58)</x:f>
        <x:v>718.3474653300002</x:v>
      </x:c>
      <x:c r="D11" s="24" t="n">
        <x:f>SUMIF('Withdrawal History'!$C$5:$C$58,A11,'Withdrawal History'!$E$5:$E$58)</x:f>
        <x:v>3.3130000000000006</x:v>
      </x:c>
      <x:c r="E11" s="23" t="n">
        <x:f>COUNTIFS('Withdrawal History'!$C$5:$C$58,A11,'Withdrawal History'!$G$5:$G$58,"Completed")</x:f>
        <x:v>52</x:v>
      </x:c>
    </x:row>
  </x:sheetData>
  <x:mergeCells>
    <x:mergeCell ref="A1:E1"/>
    <x:mergeCell ref="A2:E2"/>
    <x:mergeCell ref="A8:E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10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36" hidden="0" customWidth="1"/>
  </x:cols>
  <x:sheetData>
    <x:row r="1">
      <x:c r="A1" s="25" t="str">
        <x:v>Complete Binance Crypto Withdrawal Records</x:v>
      </x:c>
      <x:c r="B1" s="25" t="str">
        <x:v>Complete Binance Crypto Withdrawal Records</x:v>
      </x:c>
      <x:c r="C1" s="25" t="str">
        <x:v>Complete Binance Crypto Withdrawal Records</x:v>
      </x:c>
      <x:c r="D1" s="25" t="str">
        <x:v>Complete Binance Crypto Withdrawal Records</x:v>
      </x:c>
      <x:c r="E1" s="25" t="str">
        <x:v>Complete Binance Crypto Withdrawal Records</x:v>
      </x:c>
      <x:c r="F1" s="25" t="str">
        <x:v>Complete Binance Crypto Withdrawal Records</x:v>
      </x:c>
      <x:c r="G1" s="25" t="str">
        <x:v>Complete Binance Crypto Withdrawal Records</x:v>
      </x:c>
      <x:c r="H1" s="25" t="str">
        <x:v>Complete Binance Crypto Withdrawal Records</x:v>
      </x:c>
      <x:c r="I1" s="25" t="str">
        <x:v>Complete Binance Crypto Withdrawal Records</x:v>
      </x:c>
      <x:c r="J1" s="25" t="str">
        <x:v>Complete Binance Crypto Withdrawal Records</x:v>
      </x:c>
      <x:c r="K1" s="25" t="str">
        <x:v>Complete Binance Crypto Withdrawal Records</x:v>
      </x:c>
      <x:c r="L1" s="25" t="str">
        <x:v>Complete Binance Crypto Withdrawal Records</x:v>
      </x:c>
      <x:c r="M1" s="25" t="str">
        <x:v>Complete Binance Crypto Withdrawal Records</x:v>
      </x:c>
      <x:c r="N1" s="25" t="str">
        <x:v>Complete Binance Crypto Withdrawal Records</x:v>
      </x:c>
    </x:row>
    <x:row r="2">
      <x:c r="A2" s="5" t="str">
        <x:v>All records returned by Binance from 2017-07-01 through the retrieval timestamp. Sensitive address, transaction, and withdrawal identifiers are masked.</x:v>
      </x:c>
      <x:c r="B2" s="5" t="str">
        <x:v>All records returned by Binance from 2017-07-01 through the retrieval timestamp. Sensitive address, transaction, and withdrawal identifiers are masked.</x:v>
      </x:c>
      <x:c r="C2" s="5" t="str">
        <x:v>All records returned by Binance from 2017-07-01 through the retrieval timestamp. Sensitive address, transaction, and withdrawal identifiers are masked.</x:v>
      </x:c>
      <x:c r="D2" s="5" t="str">
        <x:v>All records returned by Binance from 2017-07-01 through the retrieval timestamp. Sensitive address, transaction, and withdrawal identifiers are masked.</x:v>
      </x:c>
      <x:c r="E2" s="5" t="str">
        <x:v>All records returned by Binance from 2017-07-01 through the retrieval timestamp. Sensitive address, transaction, and withdrawal identifiers are masked.</x:v>
      </x:c>
      <x:c r="F2" s="5" t="str">
        <x:v>All records returned by Binance from 2017-07-01 through the retrieval timestamp. Sensitive address, transaction, and withdrawal identifiers are masked.</x:v>
      </x:c>
      <x:c r="G2" s="5" t="str">
        <x:v>All records returned by Binance from 2017-07-01 through the retrieval timestamp. Sensitive address, transaction, and withdrawal identifiers are masked.</x:v>
      </x:c>
      <x:c r="H2" s="5" t="str">
        <x:v>All records returned by Binance from 2017-07-01 through the retrieval timestamp. Sensitive address, transaction, and withdrawal identifiers are masked.</x:v>
      </x:c>
      <x:c r="I2" s="5" t="str">
        <x:v>All records returned by Binance from 2017-07-01 through the retrieval timestamp. Sensitive address, transaction, and withdrawal identifiers are masked.</x:v>
      </x:c>
      <x:c r="J2" s="5" t="str">
        <x:v>All records returned by Binance from 2017-07-01 through the retrieval timestamp. Sensitive address, transaction, and withdrawal identifiers are masked.</x:v>
      </x:c>
      <x:c r="K2" s="5" t="str">
        <x:v>All records returned by Binance from 2017-07-01 through the retrieval timestamp. Sensitive address, transaction, and withdrawal identifiers are masked.</x:v>
      </x:c>
      <x:c r="L2" s="5" t="str">
        <x:v>All records returned by Binance from 2017-07-01 through the retrieval timestamp. Sensitive address, transaction, and withdrawal identifiers are masked.</x:v>
      </x:c>
      <x:c r="M2" s="5" t="str">
        <x:v>All records returned by Binance from 2017-07-01 through the retrieval timestamp. Sensitive address, transaction, and withdrawal identifiers are masked.</x:v>
      </x:c>
      <x:c r="N2" s="5" t="str">
        <x:v>All records returned by Binance from 2017-07-01 through the retrieval timestamp. Sensitive address, transaction, and withdrawal identifiers are masked.</x:v>
      </x:c>
    </x:row>
    <x:row r="4" ht="32" customHeight="1">
      <x:c r="A4" s="29" t="str">
        <x:v>Apply Time (UTC)</x:v>
      </x:c>
      <x:c r="B4" s="30" t="str">
        <x:v>Complete Time (UTC)</x:v>
      </x:c>
      <x:c r="C4" s="30" t="str">
        <x:v>Asset</x:v>
      </x:c>
      <x:c r="D4" s="30" t="str">
        <x:v>Amount</x:v>
      </x:c>
      <x:c r="E4" s="30" t="str">
        <x:v>Fee</x:v>
      </x:c>
      <x:c r="F4" s="30" t="str">
        <x:v>Network</x:v>
      </x:c>
      <x:c r="G4" s="30" t="str">
        <x:v>Status</x:v>
      </x:c>
      <x:c r="H4" s="30" t="str">
        <x:v>Transfer Type</x:v>
      </x:c>
      <x:c r="I4" s="30" t="str">
        <x:v>Wallet</x:v>
      </x:c>
      <x:c r="J4" s="30" t="str">
        <x:v>Destination (masked)</x:v>
      </x:c>
      <x:c r="K4" s="30" t="str">
        <x:v>TxID (masked)</x:v>
      </x:c>
      <x:c r="L4" s="30" t="str">
        <x:v>Withdrawal ID (masked)</x:v>
      </x:c>
      <x:c r="M4" s="30" t="str">
        <x:v>Client Order ID</x:v>
      </x:c>
      <x:c r="N4" s="31" t="str">
        <x:v>Info</x:v>
      </x:c>
    </x:row>
    <x:row r="5">
      <x:c r="A5" s="32" t="n">
        <x:v>46243.78496527778</x:v>
      </x:c>
      <x:c r="B5" s="32" t="n">
        <x:v>46243.785520833335</x:v>
      </x:c>
      <x:c r="C5" s="33" t="str">
        <x:v>USDT</x:v>
      </x:c>
      <x:c r="D5" s="34" t="n">
        <x:v>19.99</x:v>
      </x:c>
      <x:c r="E5" s="34" t="n">
        <x:v>0.01</x:v>
      </x:c>
      <x:c r="F5" s="33" t="str">
        <x:v>BSC</x:v>
      </x:c>
      <x:c r="G5" s="33" t="str">
        <x:v>Completed</x:v>
      </x:c>
      <x:c r="H5" s="33" t="str">
        <x:v>External</x:v>
      </x:c>
      <x:c r="I5" s="33" t="str">
        <x:v>Spot</x:v>
      </x:c>
      <x:c r="J5" s="33" t="str">
        <x:v>0x08fb7…180b3f</x:v>
      </x:c>
      <x:c r="K5" s="33" t="str">
        <x:v>0x647432a3…74b31472</x:v>
      </x:c>
      <x:c r="L5" s="33" t="str">
        <x:v>34a56571…634e10</x:v>
      </x:c>
      <x:c r="M5" s="33" t="str"/>
      <x:c r="N5" s="41" t="str">
        <x:v>0xbd612a3f…29874896</x:v>
      </x:c>
    </x:row>
    <x:row r="6">
      <x:c r="A6" s="35" t="n">
        <x:v>46243.36577546296</x:v>
      </x:c>
      <x:c r="B6" s="35" t="n">
        <x:v>46243.36604166667</x:v>
      </x:c>
      <x:c r="C6" s="36" t="str">
        <x:v>USDT</x:v>
      </x:c>
      <x:c r="D6" s="37" t="n">
        <x:v>19.99</x:v>
      </x:c>
      <x:c r="E6" s="37" t="n">
        <x:v>0.01</x:v>
      </x:c>
      <x:c r="F6" s="36" t="str">
        <x:v>BSC</x:v>
      </x:c>
      <x:c r="G6" s="36" t="str">
        <x:v>Completed</x:v>
      </x:c>
      <x:c r="H6" s="36" t="str">
        <x:v>External</x:v>
      </x:c>
      <x:c r="I6" s="36" t="str">
        <x:v>Spot</x:v>
      </x:c>
      <x:c r="J6" s="36" t="str">
        <x:v>0x08fb7…180b3f</x:v>
      </x:c>
      <x:c r="K6" s="36" t="str">
        <x:v>0xa48bd824…809b29d9</x:v>
      </x:c>
      <x:c r="L6" s="36" t="str">
        <x:v>97e2ccbf…7b5142</x:v>
      </x:c>
      <x:c r="M6" s="36" t="str"/>
      <x:c r="N6" s="42" t="str">
        <x:v>0xe2fc31f8…52612662</x:v>
      </x:c>
    </x:row>
    <x:row r="7">
      <x:c r="A7" s="35" t="n">
        <x:v>46242.57618055555</x:v>
      </x:c>
      <x:c r="B7" s="35" t="n">
        <x:v>46242.57653935185</x:v>
      </x:c>
      <x:c r="C7" s="36" t="str">
        <x:v>USDT</x:v>
      </x:c>
      <x:c r="D7" s="37" t="n">
        <x:v>8.99</x:v>
      </x:c>
      <x:c r="E7" s="37" t="n">
        <x:v>0.01</x:v>
      </x:c>
      <x:c r="F7" s="36" t="str">
        <x:v>BSC</x:v>
      </x:c>
      <x:c r="G7" s="36" t="str">
        <x:v>Completed</x:v>
      </x:c>
      <x:c r="H7" s="36" t="str">
        <x:v>External</x:v>
      </x:c>
      <x:c r="I7" s="36" t="str">
        <x:v>Spot</x:v>
      </x:c>
      <x:c r="J7" s="36" t="str">
        <x:v>0x08fb7…180b3f</x:v>
      </x:c>
      <x:c r="K7" s="36" t="str">
        <x:v>0x5d66ba7d…4cbc2f90</x:v>
      </x:c>
      <x:c r="L7" s="36" t="str">
        <x:v>86f8ec60…0fb288</x:v>
      </x:c>
      <x:c r="M7" s="36" t="str"/>
      <x:c r="N7" s="42" t="str">
        <x:v>0xe2fc31f8…52584442</x:v>
      </x:c>
    </x:row>
    <x:row r="8">
      <x:c r="A8" s="35" t="n">
        <x:v>46241.77018518518</x:v>
      </x:c>
      <x:c r="B8" s="35" t="n">
        <x:v>46241.77049768518</x:v>
      </x:c>
      <x:c r="C8" s="36" t="str">
        <x:v>USDT</x:v>
      </x:c>
      <x:c r="D8" s="37" t="n">
        <x:v>6.89</x:v>
      </x:c>
      <x:c r="E8" s="37" t="n">
        <x:v>0.01</x:v>
      </x:c>
      <x:c r="F8" s="36" t="str">
        <x:v>BSC</x:v>
      </x:c>
      <x:c r="G8" s="36" t="str">
        <x:v>Completed</x:v>
      </x:c>
      <x:c r="H8" s="36" t="str">
        <x:v>External</x:v>
      </x:c>
      <x:c r="I8" s="36" t="str">
        <x:v>Spot</x:v>
      </x:c>
      <x:c r="J8" s="36" t="str">
        <x:v>0xF0e80…A4dcFf</x:v>
      </x:c>
      <x:c r="K8" s="36" t="str">
        <x:v>0x2834e7a1…30c46f0e</x:v>
      </x:c>
      <x:c r="L8" s="36" t="str">
        <x:v>92b86cca…26e692</x:v>
      </x:c>
      <x:c r="M8" s="36" t="str"/>
      <x:c r="N8" s="42" t="str">
        <x:v>0xbd612a3f…29807972</x:v>
      </x:c>
    </x:row>
    <x:row r="9">
      <x:c r="A9" s="35" t="n">
        <x:v>46241.47881944444</x:v>
      </x:c>
      <x:c r="B9" s="35" t="n">
        <x:v>46241.47930555556</x:v>
      </x:c>
      <x:c r="C9" s="36" t="str">
        <x:v>USDT</x:v>
      </x:c>
      <x:c r="D9" s="37" t="n">
        <x:v>11.99</x:v>
      </x:c>
      <x:c r="E9" s="37" t="n">
        <x:v>0.01</x:v>
      </x:c>
      <x:c r="F9" s="36" t="str">
        <x:v>BSC</x:v>
      </x:c>
      <x:c r="G9" s="36" t="str">
        <x:v>Completed</x:v>
      </x:c>
      <x:c r="H9" s="36" t="str">
        <x:v>External</x:v>
      </x:c>
      <x:c r="I9" s="36" t="str">
        <x:v>Spot</x:v>
      </x:c>
      <x:c r="J9" s="36" t="str">
        <x:v>0x08fb7…180b3f</x:v>
      </x:c>
      <x:c r="K9" s="36" t="str">
        <x:v>0xd289a11e…7c603fac</x:v>
      </x:c>
      <x:c r="L9" s="36" t="str">
        <x:v>5e7beca2…fe47ae</x:v>
      </x:c>
      <x:c r="M9" s="36" t="str"/>
      <x:c r="N9" s="42" t="str">
        <x:v>0xa180fe01…39503354</x:v>
      </x:c>
    </x:row>
    <x:row r="10">
      <x:c r="A10" s="35" t="n">
        <x:v>46240.51431712963</x:v>
      </x:c>
      <x:c r="B10" s="35" t="n">
        <x:v>46240.51467592592</x:v>
      </x:c>
      <x:c r="C10" s="36" t="str">
        <x:v>USDT</x:v>
      </x:c>
      <x:c r="D10" s="37" t="n">
        <x:v>4.99</x:v>
      </x:c>
      <x:c r="E10" s="37" t="n">
        <x:v>0.01</x:v>
      </x:c>
      <x:c r="F10" s="36" t="str">
        <x:v>BSC</x:v>
      </x:c>
      <x:c r="G10" s="36" t="str">
        <x:v>Completed</x:v>
      </x:c>
      <x:c r="H10" s="36" t="str">
        <x:v>External</x:v>
      </x:c>
      <x:c r="I10" s="36" t="str">
        <x:v>Spot</x:v>
      </x:c>
      <x:c r="J10" s="36" t="str">
        <x:v>0xB2D2E…5bB63c</x:v>
      </x:c>
      <x:c r="K10" s="36" t="str">
        <x:v>0x0f2152ba…beb18666</x:v>
      </x:c>
      <x:c r="L10" s="36" t="str">
        <x:v>52954281…7c05f8</x:v>
      </x:c>
      <x:c r="M10" s="36" t="str"/>
      <x:c r="N10" s="42" t="str">
        <x:v>0xbd612a3f…29754243</x:v>
      </x:c>
    </x:row>
    <x:row r="11">
      <x:c r="A11" s="35" t="n">
        <x:v>46239.80699074074</x:v>
      </x:c>
      <x:c r="B11" s="35" t="n">
        <x:v>46239.80732638889</x:v>
      </x:c>
      <x:c r="C11" s="36" t="str">
        <x:v>USDT</x:v>
      </x:c>
      <x:c r="D11" s="37" t="n">
        <x:v>24.99</x:v>
      </x:c>
      <x:c r="E11" s="37" t="n">
        <x:v>0.01</x:v>
      </x:c>
      <x:c r="F11" s="36" t="str">
        <x:v>BSC</x:v>
      </x:c>
      <x:c r="G11" s="36" t="str">
        <x:v>Completed</x:v>
      </x:c>
      <x:c r="H11" s="36" t="str">
        <x:v>External</x:v>
      </x:c>
      <x:c r="I11" s="36" t="str">
        <x:v>Spot</x:v>
      </x:c>
      <x:c r="J11" s="36" t="str">
        <x:v>0x08fb7…180b3f</x:v>
      </x:c>
      <x:c r="K11" s="36" t="str">
        <x:v>0x4ef3daa7…8e156fc5</x:v>
      </x:c>
      <x:c r="L11" s="36" t="str">
        <x:v>af294c93…f90b52</x:v>
      </x:c>
      <x:c r="M11" s="36" t="str"/>
      <x:c r="N11" s="42" t="str">
        <x:v>0x8894e0a0…55368107</x:v>
      </x:c>
    </x:row>
    <x:row r="12">
      <x:c r="A12" s="35" t="n">
        <x:v>46239.77127314815</x:v>
      </x:c>
      <x:c r="B12" s="35" t="n">
        <x:v>46239.77170138889</x:v>
      </x:c>
      <x:c r="C12" s="36" t="str">
        <x:v>USDT</x:v>
      </x:c>
      <x:c r="D12" s="37" t="n">
        <x:v>15.99</x:v>
      </x:c>
      <x:c r="E12" s="37" t="n">
        <x:v>0.01</x:v>
      </x:c>
      <x:c r="F12" s="36" t="str">
        <x:v>BSC</x:v>
      </x:c>
      <x:c r="G12" s="36" t="str">
        <x:v>Completed</x:v>
      </x:c>
      <x:c r="H12" s="36" t="str">
        <x:v>External</x:v>
      </x:c>
      <x:c r="I12" s="36" t="str">
        <x:v>Spot</x:v>
      </x:c>
      <x:c r="J12" s="36" t="str">
        <x:v>0x08fb7…180b3f</x:v>
      </x:c>
      <x:c r="K12" s="36" t="str">
        <x:v>0xb2f33138…670a41f4</x:v>
      </x:c>
      <x:c r="L12" s="36" t="str">
        <x:v>45855184…ae83ef</x:v>
      </x:c>
      <x:c r="M12" s="36" t="str"/>
      <x:c r="N12" s="42" t="str">
        <x:v>0xbd612a3f…29728211</x:v>
      </x:c>
    </x:row>
    <x:row r="13">
      <x:c r="A13" s="35" t="n">
        <x:v>46239.70118055555</x:v>
      </x:c>
      <x:c r="B13" s="35" t="n">
        <x:v>46239.701516203706</x:v>
      </x:c>
      <x:c r="C13" s="36" t="str">
        <x:v>USDT</x:v>
      </x:c>
      <x:c r="D13" s="37" t="n">
        <x:v>21.39</x:v>
      </x:c>
      <x:c r="E13" s="37" t="n">
        <x:v>0.01</x:v>
      </x:c>
      <x:c r="F13" s="36" t="str">
        <x:v>BSC</x:v>
      </x:c>
      <x:c r="G13" s="36" t="str">
        <x:v>Completed</x:v>
      </x:c>
      <x:c r="H13" s="36" t="str">
        <x:v>External</x:v>
      </x:c>
      <x:c r="I13" s="36" t="str">
        <x:v>Spot</x:v>
      </x:c>
      <x:c r="J13" s="36" t="str">
        <x:v>0xB2D2E…5bB63c</x:v>
      </x:c>
      <x:c r="K13" s="36" t="str">
        <x:v>0x48e47e28…be8b3045</x:v>
      </x:c>
      <x:c r="L13" s="36" t="str">
        <x:v>f68778e7…d4e5be</x:v>
      </x:c>
      <x:c r="M13" s="36" t="str"/>
      <x:c r="N13" s="42" t="str">
        <x:v>0x515b72ed…29145385</x:v>
      </x:c>
    </x:row>
    <x:row r="14">
      <x:c r="A14" s="35" t="n">
        <x:v>46239.37099537037</x:v>
      </x:c>
      <x:c r="B14" s="35" t="n">
        <x:v>46239.3716087963</x:v>
      </x:c>
      <x:c r="C14" s="36" t="str">
        <x:v>USDT</x:v>
      </x:c>
      <x:c r="D14" s="37" t="n">
        <x:v>21.99</x:v>
      </x:c>
      <x:c r="E14" s="37" t="n">
        <x:v>0.01</x:v>
      </x:c>
      <x:c r="F14" s="36" t="str">
        <x:v>BSC</x:v>
      </x:c>
      <x:c r="G14" s="36" t="str">
        <x:v>Completed</x:v>
      </x:c>
      <x:c r="H14" s="36" t="str">
        <x:v>External</x:v>
      </x:c>
      <x:c r="I14" s="36" t="str">
        <x:v>Spot</x:v>
      </x:c>
      <x:c r="J14" s="36" t="str">
        <x:v>0xa1A22…71c81a</x:v>
      </x:c>
      <x:c r="K14" s="36" t="str">
        <x:v>0x564a21c2…dc70b41b</x:v>
      </x:c>
      <x:c r="L14" s="36" t="str">
        <x:v>d37ec282…39bba9</x:v>
      </x:c>
      <x:c r="M14" s="36" t="str"/>
      <x:c r="N14" s="42" t="str">
        <x:v>0xbd612a3f…29706694</x:v>
      </x:c>
    </x:row>
    <x:row r="15">
      <x:c r="A15" s="35" t="n">
        <x:v>46238.732777777775</x:v>
      </x:c>
      <x:c r="B15" s="35" t="n">
        <x:v>46238.73341435185</x:v>
      </x:c>
      <x:c r="C15" s="36" t="str">
        <x:v>USDT</x:v>
      </x:c>
      <x:c r="D15" s="37" t="n">
        <x:v>9.99</x:v>
      </x:c>
      <x:c r="E15" s="37" t="n">
        <x:v>0.01</x:v>
      </x:c>
      <x:c r="F15" s="36" t="str">
        <x:v>BSC</x:v>
      </x:c>
      <x:c r="G15" s="36" t="str">
        <x:v>Completed</x:v>
      </x:c>
      <x:c r="H15" s="36" t="str">
        <x:v>External</x:v>
      </x:c>
      <x:c r="I15" s="36" t="str">
        <x:v>Spot</x:v>
      </x:c>
      <x:c r="J15" s="36" t="str">
        <x:v>0x08fb7…180b3f</x:v>
      </x:c>
      <x:c r="K15" s="36" t="str">
        <x:v>0xa5e31f12…eed5e690</x:v>
      </x:c>
      <x:c r="L15" s="36" t="str">
        <x:v>4f561cb2…0a0147</x:v>
      </x:c>
      <x:c r="M15" s="36" t="str"/>
      <x:c r="N15" s="42" t="str">
        <x:v>0xa180fe01…39399845</x:v>
      </x:c>
    </x:row>
    <x:row r="16">
      <x:c r="A16" s="35" t="n">
        <x:v>46238.596087962964</x:v>
      </x:c>
      <x:c r="B16" s="35" t="n">
        <x:v>46238.596597222226</x:v>
      </x:c>
      <x:c r="C16" s="36" t="str">
        <x:v>USDT</x:v>
      </x:c>
      <x:c r="D16" s="37" t="n">
        <x:v>4.99</x:v>
      </x:c>
      <x:c r="E16" s="37" t="n">
        <x:v>0.01</x:v>
      </x:c>
      <x:c r="F16" s="36" t="str">
        <x:v>BSC</x:v>
      </x:c>
      <x:c r="G16" s="36" t="str">
        <x:v>Completed</x:v>
      </x:c>
      <x:c r="H16" s="36" t="str">
        <x:v>External</x:v>
      </x:c>
      <x:c r="I16" s="36" t="str">
        <x:v>Spot</x:v>
      </x:c>
      <x:c r="J16" s="36" t="str">
        <x:v>0xB2D2E…5bB63c</x:v>
      </x:c>
      <x:c r="K16" s="36" t="str">
        <x:v>0x69cba2bf…9e52114d</x:v>
      </x:c>
      <x:c r="L16" s="36" t="str">
        <x:v>cnt51656…922241</x:v>
      </x:c>
      <x:c r="M16" s="36" t="str"/>
      <x:c r="N16" s="42" t="str">
        <x:v>0xe2fc31f8…52412463</x:v>
      </x:c>
    </x:row>
    <x:row r="17">
      <x:c r="A17" s="35" t="n">
        <x:v>46237.88416666666</x:v>
      </x:c>
      <x:c r="B17" s="35" t="n">
        <x:v>46237.884791666664</x:v>
      </x:c>
      <x:c r="C17" s="36" t="str">
        <x:v>USDT</x:v>
      </x:c>
      <x:c r="D17" s="37" t="n">
        <x:v>10.09</x:v>
      </x:c>
      <x:c r="E17" s="37" t="n">
        <x:v>0.01</x:v>
      </x:c>
      <x:c r="F17" s="36" t="str">
        <x:v>BSC</x:v>
      </x:c>
      <x:c r="G17" s="36" t="str">
        <x:v>Completed</x:v>
      </x:c>
      <x:c r="H17" s="36" t="str">
        <x:v>External</x:v>
      </x:c>
      <x:c r="I17" s="36" t="str">
        <x:v>Spot</x:v>
      </x:c>
      <x:c r="J17" s="36" t="str">
        <x:v>0x08fb7…180b3f</x:v>
      </x:c>
      <x:c r="K17" s="36" t="str">
        <x:v>0xcd24fcc6…4624add0</x:v>
      </x:c>
      <x:c r="L17" s="36" t="str">
        <x:v>b77136e6…619264</x:v>
      </x:c>
      <x:c r="M17" s="36" t="str"/>
      <x:c r="N17" s="42" t="str">
        <x:v>0x515b72ed…29081357</x:v>
      </x:c>
    </x:row>
    <x:row r="18">
      <x:c r="A18" s="35" t="n">
        <x:v>46235.5831712963</x:v>
      </x:c>
      <x:c r="B18" s="35" t="n">
        <x:v>46235.58349537037</x:v>
      </x:c>
      <x:c r="C18" s="36" t="str">
        <x:v>USDT</x:v>
      </x:c>
      <x:c r="D18" s="37" t="n">
        <x:v>20.99</x:v>
      </x:c>
      <x:c r="E18" s="37" t="n">
        <x:v>0.01</x:v>
      </x:c>
      <x:c r="F18" s="36" t="str">
        <x:v>BSC</x:v>
      </x:c>
      <x:c r="G18" s="36" t="str">
        <x:v>Completed</x:v>
      </x:c>
      <x:c r="H18" s="36" t="str">
        <x:v>External</x:v>
      </x:c>
      <x:c r="I18" s="36" t="str">
        <x:v>Spot</x:v>
      </x:c>
      <x:c r="J18" s="36" t="str">
        <x:v>0x08fb7…180b3f</x:v>
      </x:c>
      <x:c r="K18" s="36" t="str">
        <x:v>0x92f3842d…ca8e2552</x:v>
      </x:c>
      <x:c r="L18" s="36" t="str">
        <x:v>6ab56f9c…de05f8</x:v>
      </x:c>
      <x:c r="M18" s="36" t="str"/>
      <x:c r="N18" s="42" t="str">
        <x:v>0x8894e0a0…55208406</x:v>
      </x:c>
    </x:row>
    <x:row r="19">
      <x:c r="A19" s="35" t="n">
        <x:v>46231.41334490741</x:v>
      </x:c>
      <x:c r="B19" s="35" t="n">
        <x:v>46231.41914351852</x:v>
      </x:c>
      <x:c r="C19" s="36" t="str">
        <x:v>USDT</x:v>
      </x:c>
      <x:c r="D19" s="37" t="n">
        <x:v>2.93</x:v>
      </x:c>
      <x:c r="E19" s="37" t="n">
        <x:v>0.07</x:v>
      </x:c>
      <x:c r="F19" s="36" t="str">
        <x:v>MATIC</x:v>
      </x:c>
      <x:c r="G19" s="36" t="str">
        <x:v>Completed</x:v>
      </x:c>
      <x:c r="H19" s="36" t="str">
        <x:v>External</x:v>
      </x:c>
      <x:c r="I19" s="36" t="str">
        <x:v>Spot</x:v>
      </x:c>
      <x:c r="J19" s="36" t="str">
        <x:v>0x3aFC7…9049b9</x:v>
      </x:c>
      <x:c r="K19" s="36" t="str">
        <x:v>0xdc739a9b…1271f573</x:v>
      </x:c>
      <x:c r="L19" s="36" t="str">
        <x:v>f6ec69c5…2d42ea</x:v>
      </x:c>
      <x:c r="M19" s="36" t="str"/>
      <x:c r="N19" s="42" t="str">
        <x:v>0xe7804c37…11786825</x:v>
      </x:c>
    </x:row>
    <x:row r="20">
      <x:c r="A20" s="35" t="n">
        <x:v>46220.7828125</x:v>
      </x:c>
      <x:c r="B20" s="35" t="n">
        <x:v>46220.78341435185</x:v>
      </x:c>
      <x:c r="C20" s="36" t="str">
        <x:v>USDT</x:v>
      </x:c>
      <x:c r="D20" s="37" t="n">
        <x:v>17.6</x:v>
      </x:c>
      <x:c r="E20" s="37" t="n">
        <x:v>0.01</x:v>
      </x:c>
      <x:c r="F20" s="36" t="str">
        <x:v>BSC</x:v>
      </x:c>
      <x:c r="G20" s="36" t="str">
        <x:v>Completed</x:v>
      </x:c>
      <x:c r="H20" s="36" t="str">
        <x:v>External</x:v>
      </x:c>
      <x:c r="I20" s="36" t="str">
        <x:v>Spot</x:v>
      </x:c>
      <x:c r="J20" s="36" t="str">
        <x:v>0x1e9e2…039054</x:v>
      </x:c>
      <x:c r="K20" s="36" t="str">
        <x:v>0x1bf0369d…5a34a9a3</x:v>
      </x:c>
      <x:c r="L20" s="36" t="str">
        <x:v>21275d53…993e15</x:v>
      </x:c>
      <x:c r="M20" s="36" t="str"/>
      <x:c r="N20" s="42" t="str">
        <x:v>0x161ba15a…30313254</x:v>
      </x:c>
    </x:row>
    <x:row r="21">
      <x:c r="A21" s="35" t="n">
        <x:v>46218.49153935185</x:v>
      </x:c>
      <x:c r="B21" s="35" t="n">
        <x:v>46218.49207175926</x:v>
      </x:c>
      <x:c r="C21" s="36" t="str">
        <x:v>USDT</x:v>
      </x:c>
      <x:c r="D21" s="37" t="n">
        <x:v>4.99</x:v>
      </x:c>
      <x:c r="E21" s="37" t="n">
        <x:v>0.01</x:v>
      </x:c>
      <x:c r="F21" s="36" t="str">
        <x:v>BSC</x:v>
      </x:c>
      <x:c r="G21" s="36" t="str">
        <x:v>Completed</x:v>
      </x:c>
      <x:c r="H21" s="36" t="str">
        <x:v>External</x:v>
      </x:c>
      <x:c r="I21" s="36" t="str">
        <x:v>Spot</x:v>
      </x:c>
      <x:c r="J21" s="36" t="str">
        <x:v>0x1e9e2…039054</x:v>
      </x:c>
      <x:c r="K21" s="36" t="str">
        <x:v>0xa35652e3…6c4967ac</x:v>
      </x:c>
      <x:c r="L21" s="36" t="str">
        <x:v>27700915…91bf9d</x:v>
      </x:c>
      <x:c r="M21" s="36" t="str"/>
      <x:c r="N21" s="42" t="str">
        <x:v>0xe2fc31f8…51574615</x:v>
      </x:c>
    </x:row>
    <x:row r="22">
      <x:c r="A22" s="35" t="n">
        <x:v>46218.394641203704</x:v>
      </x:c>
      <x:c r="B22" s="35" t="n">
        <x:v>46218.39482638889</x:v>
      </x:c>
      <x:c r="C22" s="36" t="str">
        <x:v>USDT</x:v>
      </x:c>
      <x:c r="D22" s="37" t="n">
        <x:v>4.99</x:v>
      </x:c>
      <x:c r="E22" s="37" t="n">
        <x:v>0.01</x:v>
      </x:c>
      <x:c r="F22" s="36" t="str">
        <x:v>BSC</x:v>
      </x:c>
      <x:c r="G22" s="36" t="str">
        <x:v>Completed</x:v>
      </x:c>
      <x:c r="H22" s="36" t="str">
        <x:v>External</x:v>
      </x:c>
      <x:c r="I22" s="36" t="str">
        <x:v>Spot</x:v>
      </x:c>
      <x:c r="J22" s="36" t="str">
        <x:v>0x1e9e2…039054</x:v>
      </x:c>
      <x:c r="K22" s="36" t="str">
        <x:v>0xcac4ce0d…4e12bc57</x:v>
      </x:c>
      <x:c r="L22" s="36" t="str">
        <x:v>455a1a8f…6e55fe</x:v>
      </x:c>
      <x:c r="M22" s="36" t="str"/>
      <x:c r="N22" s="42" t="str">
        <x:v>0xa180fe01…38665720</x:v>
      </x:c>
    </x:row>
    <x:row r="23">
      <x:c r="A23" s="35" t="n">
        <x:v>46215.76048611111</x:v>
      </x:c>
      <x:c r="B23" s="35" t="n">
        <x:v>46215.76121527778</x:v>
      </x:c>
      <x:c r="C23" s="36" t="str">
        <x:v>USDT</x:v>
      </x:c>
      <x:c r="D23" s="37" t="n">
        <x:v>5</x:v>
      </x:c>
      <x:c r="E23" s="37" t="n">
        <x:v>0.01</x:v>
      </x:c>
      <x:c r="F23" s="36" t="str">
        <x:v>BSC</x:v>
      </x:c>
      <x:c r="G23" s="36" t="str">
        <x:v>Completed</x:v>
      </x:c>
      <x:c r="H23" s="36" t="str">
        <x:v>External</x:v>
      </x:c>
      <x:c r="I23" s="36" t="str">
        <x:v>Spot</x:v>
      </x:c>
      <x:c r="J23" s="36" t="str">
        <x:v>0x23970…63ae87</x:v>
      </x:c>
      <x:c r="K23" s="36" t="str">
        <x:v>0x52c20699…6a82e90b</x:v>
      </x:c>
      <x:c r="L23" s="36" t="str">
        <x:v>171e9e22…46a6b2</x:v>
      </x:c>
      <x:c r="M23" s="36" t="str"/>
      <x:c r="N23" s="42" t="str">
        <x:v>0xbd612a3f…28823163</x:v>
      </x:c>
    </x:row>
    <x:row r="24">
      <x:c r="A24" s="35" t="n">
        <x:v>46215.37416666667</x:v>
      </x:c>
      <x:c r="B24" s="35" t="n">
        <x:v>46215.37466435185</x:v>
      </x:c>
      <x:c r="C24" s="36" t="str">
        <x:v>USDT</x:v>
      </x:c>
      <x:c r="D24" s="37" t="n">
        <x:v>19.99</x:v>
      </x:c>
      <x:c r="E24" s="37" t="n">
        <x:v>0.01</x:v>
      </x:c>
      <x:c r="F24" s="36" t="str">
        <x:v>BSC</x:v>
      </x:c>
      <x:c r="G24" s="36" t="str">
        <x:v>Completed</x:v>
      </x:c>
      <x:c r="H24" s="36" t="str">
        <x:v>External</x:v>
      </x:c>
      <x:c r="I24" s="36" t="str">
        <x:v>Spot</x:v>
      </x:c>
      <x:c r="J24" s="36" t="str">
        <x:v>0x1e9e2…039054</x:v>
      </x:c>
      <x:c r="K24" s="36" t="str">
        <x:v>0xd77e12d0…2b972cf6</x:v>
      </x:c>
      <x:c r="L24" s="36" t="str">
        <x:v>f290ed75…addf34</x:v>
      </x:c>
      <x:c r="M24" s="36" t="str"/>
      <x:c r="N24" s="42" t="str">
        <x:v>0xeb2d2f1b…37717113</x:v>
      </x:c>
    </x:row>
    <x:row r="25">
      <x:c r="A25" s="35" t="n">
        <x:v>46214.30324074074</x:v>
      </x:c>
      <x:c r="B25" s="35" t="n">
        <x:v>46214.30355324074</x:v>
      </x:c>
      <x:c r="C25" s="36" t="str">
        <x:v>USDT</x:v>
      </x:c>
      <x:c r="D25" s="37" t="n">
        <x:v>19.19</x:v>
      </x:c>
      <x:c r="E25" s="37" t="n">
        <x:v>0.01</x:v>
      </x:c>
      <x:c r="F25" s="36" t="str">
        <x:v>BSC</x:v>
      </x:c>
      <x:c r="G25" s="36" t="str">
        <x:v>Completed</x:v>
      </x:c>
      <x:c r="H25" s="36" t="str">
        <x:v>External</x:v>
      </x:c>
      <x:c r="I25" s="36" t="str">
        <x:v>Spot</x:v>
      </x:c>
      <x:c r="J25" s="36" t="str">
        <x:v>0x1e9e2…039054</x:v>
      </x:c>
      <x:c r="K25" s="36" t="str">
        <x:v>0x837f8ff8…c06d491f</x:v>
      </x:c>
      <x:c r="L25" s="36" t="str">
        <x:v>eea07def…6a4058</x:v>
      </x:c>
      <x:c r="M25" s="36" t="str"/>
      <x:c r="N25" s="42" t="str">
        <x:v>0xbd612a3f…28768592</x:v>
      </x:c>
    </x:row>
    <x:row r="26">
      <x:c r="A26" s="35" t="n">
        <x:v>46208.43729166667</x:v>
      </x:c>
      <x:c r="B26" s="35" t="n">
        <x:v>46208.437627314815</x:v>
      </x:c>
      <x:c r="C26" s="36" t="str">
        <x:v>USDT</x:v>
      </x:c>
      <x:c r="D26" s="37" t="n">
        <x:v>29.99</x:v>
      </x:c>
      <x:c r="E26" s="37" t="n">
        <x:v>0.01</x:v>
      </x:c>
      <x:c r="F26" s="36" t="str">
        <x:v>BSC</x:v>
      </x:c>
      <x:c r="G26" s="36" t="str">
        <x:v>Completed</x:v>
      </x:c>
      <x:c r="H26" s="36" t="str">
        <x:v>External</x:v>
      </x:c>
      <x:c r="I26" s="36" t="str">
        <x:v>Spot</x:v>
      </x:c>
      <x:c r="J26" s="36" t="str">
        <x:v>0x1e9e2…039054</x:v>
      </x:c>
      <x:c r="K26" s="36" t="str">
        <x:v>0x8cb8be04…b3a96f95</x:v>
      </x:c>
      <x:c r="L26" s="36" t="str">
        <x:v>ee0a8498…a52b61</x:v>
      </x:c>
      <x:c r="M26" s="36" t="str"/>
      <x:c r="N26" s="42" t="str">
        <x:v>0xe2fc31f8…51131301</x:v>
      </x:c>
    </x:row>
    <x:row r="27">
      <x:c r="A27" s="35" t="n">
        <x:v>46208.34894675926</x:v>
      </x:c>
      <x:c r="B27" s="35" t="n">
        <x:v>46208.34935185185</x:v>
      </x:c>
      <x:c r="C27" s="36" t="str">
        <x:v>USDT</x:v>
      </x:c>
      <x:c r="D27" s="37" t="n">
        <x:v>11.19804498</x:v>
      </x:c>
      <x:c r="E27" s="37" t="n">
        <x:v>0.01</x:v>
      </x:c>
      <x:c r="F27" s="36" t="str">
        <x:v>BSC</x:v>
      </x:c>
      <x:c r="G27" s="36" t="str">
        <x:v>Completed</x:v>
      </x:c>
      <x:c r="H27" s="36" t="str">
        <x:v>External</x:v>
      </x:c>
      <x:c r="I27" s="36" t="str">
        <x:v>Spot</x:v>
      </x:c>
      <x:c r="J27" s="36" t="str">
        <x:v>0x1e9e2…039054</x:v>
      </x:c>
      <x:c r="K27" s="36" t="str">
        <x:v>0x605a8833…f25ee3c6</x:v>
      </x:c>
      <x:c r="L27" s="36" t="str">
        <x:v>8efa0707…4e70e5</x:v>
      </x:c>
      <x:c r="M27" s="36" t="str"/>
      <x:c r="N27" s="42" t="str">
        <x:v>0xeb2d2f1b…37458295</x:v>
      </x:c>
    </x:row>
    <x:row r="28">
      <x:c r="A28" s="35" t="n">
        <x:v>46208.340162037035</x:v>
      </x:c>
      <x:c r="B28" s="35" t="n">
        <x:v>46208.34075231481</x:v>
      </x:c>
      <x:c r="C28" s="36" t="str">
        <x:v>USDT</x:v>
      </x:c>
      <x:c r="D28" s="37" t="n">
        <x:v>17.99</x:v>
      </x:c>
      <x:c r="E28" s="37" t="n">
        <x:v>0.01</x:v>
      </x:c>
      <x:c r="F28" s="36" t="str">
        <x:v>BSC</x:v>
      </x:c>
      <x:c r="G28" s="36" t="str">
        <x:v>Completed</x:v>
      </x:c>
      <x:c r="H28" s="36" t="str">
        <x:v>External</x:v>
      </x:c>
      <x:c r="I28" s="36" t="str">
        <x:v>Spot</x:v>
      </x:c>
      <x:c r="J28" s="36" t="str">
        <x:v>0x1e9e2…039054</x:v>
      </x:c>
      <x:c r="K28" s="36" t="str">
        <x:v>0x79fe4bda…d279ecb8</x:v>
      </x:c>
      <x:c r="L28" s="36" t="str">
        <x:v>17d4ead7…5f7632</x:v>
      </x:c>
      <x:c r="M28" s="36" t="str"/>
      <x:c r="N28" s="42" t="str">
        <x:v>0x8894e0a0…54156893</x:v>
      </x:c>
    </x:row>
    <x:row r="29">
      <x:c r="A29" s="35" t="n">
        <x:v>46207.59369212963</x:v>
      </x:c>
      <x:c r="B29" s="35" t="n">
        <x:v>46207.59412037037</x:v>
      </x:c>
      <x:c r="C29" s="36" t="str">
        <x:v>USDT</x:v>
      </x:c>
      <x:c r="D29" s="37" t="n">
        <x:v>9.6</x:v>
      </x:c>
      <x:c r="E29" s="37" t="n">
        <x:v>0.01</x:v>
      </x:c>
      <x:c r="F29" s="36" t="str">
        <x:v>BSC</x:v>
      </x:c>
      <x:c r="G29" s="36" t="str">
        <x:v>Completed</x:v>
      </x:c>
      <x:c r="H29" s="36" t="str">
        <x:v>External</x:v>
      </x:c>
      <x:c r="I29" s="36" t="str">
        <x:v>Spot</x:v>
      </x:c>
      <x:c r="J29" s="36" t="str">
        <x:v>0x1cd9d…20dc56</x:v>
      </x:c>
      <x:c r="K29" s="36" t="str">
        <x:v>0xb3b52f04…d7b4cbc6</x:v>
      </x:c>
      <x:c r="L29" s="36" t="str">
        <x:v>fc95c624…0e2caf</x:v>
      </x:c>
      <x:c r="M29" s="36" t="str"/>
      <x:c r="N29" s="42" t="str">
        <x:v>0xa180fe01…38264602</x:v>
      </x:c>
    </x:row>
    <x:row r="30">
      <x:c r="A30" s="35" t="n">
        <x:v>46205.854467592595</x:v>
      </x:c>
      <x:c r="B30" s="35" t="n">
        <x:v>46205.8549537037</x:v>
      </x:c>
      <x:c r="C30" s="36" t="str">
        <x:v>USDT</x:v>
      </x:c>
      <x:c r="D30" s="37" t="n">
        <x:v>29.99</x:v>
      </x:c>
      <x:c r="E30" s="37" t="n">
        <x:v>0.01</x:v>
      </x:c>
      <x:c r="F30" s="36" t="str">
        <x:v>BSC</x:v>
      </x:c>
      <x:c r="G30" s="36" t="str">
        <x:v>Completed</x:v>
      </x:c>
      <x:c r="H30" s="36" t="str">
        <x:v>External</x:v>
      </x:c>
      <x:c r="I30" s="36" t="str">
        <x:v>Spot</x:v>
      </x:c>
      <x:c r="J30" s="36" t="str">
        <x:v>0x1e9e2…039054</x:v>
      </x:c>
      <x:c r="K30" s="36" t="str">
        <x:v>0x5e02687d…fb0b0b17</x:v>
      </x:c>
      <x:c r="L30" s="36" t="str">
        <x:v>920ea998…247703</x:v>
      </x:c>
      <x:c r="M30" s="36" t="str"/>
      <x:c r="N30" s="42" t="str">
        <x:v>0x515b72ed…28036883</x:v>
      </x:c>
    </x:row>
    <x:row r="31">
      <x:c r="A31" s="35" t="n">
        <x:v>46205.6037037037</x:v>
      </x:c>
      <x:c r="B31" s="35" t="n">
        <x:v>46205.60430555556</x:v>
      </x:c>
      <x:c r="C31" s="36" t="str">
        <x:v>USDT</x:v>
      </x:c>
      <x:c r="D31" s="37" t="n">
        <x:v>10.99</x:v>
      </x:c>
      <x:c r="E31" s="37" t="n">
        <x:v>0.01</x:v>
      </x:c>
      <x:c r="F31" s="36" t="str">
        <x:v>BSC</x:v>
      </x:c>
      <x:c r="G31" s="36" t="str">
        <x:v>Completed</x:v>
      </x:c>
      <x:c r="H31" s="36" t="str">
        <x:v>External</x:v>
      </x:c>
      <x:c r="I31" s="36" t="str">
        <x:v>Spot</x:v>
      </x:c>
      <x:c r="J31" s="36" t="str">
        <x:v>0x2D861…2d003D</x:v>
      </x:c>
      <x:c r="K31" s="36" t="str">
        <x:v>0x5a2dbaf3…a744388f</x:v>
      </x:c>
      <x:c r="L31" s="36" t="str">
        <x:v>97646020…b7368c</x:v>
      </x:c>
      <x:c r="M31" s="36" t="str"/>
      <x:c r="N31" s="42" t="str">
        <x:v>0xbd612a3f…28433321</x:v>
      </x:c>
    </x:row>
    <x:row r="32">
      <x:c r="A32" s="35" t="n">
        <x:v>46205.405</x:v>
      </x:c>
      <x:c r="B32" s="35" t="n">
        <x:v>46205.40524305555</x:v>
      </x:c>
      <x:c r="C32" s="36" t="str">
        <x:v>USDT</x:v>
      </x:c>
      <x:c r="D32" s="37" t="n">
        <x:v>20.39</x:v>
      </x:c>
      <x:c r="E32" s="37" t="n">
        <x:v>0.01</x:v>
      </x:c>
      <x:c r="F32" s="36" t="str">
        <x:v>BSC</x:v>
      </x:c>
      <x:c r="G32" s="36" t="str">
        <x:v>Completed</x:v>
      </x:c>
      <x:c r="H32" s="36" t="str">
        <x:v>External</x:v>
      </x:c>
      <x:c r="I32" s="36" t="str">
        <x:v>Spot</x:v>
      </x:c>
      <x:c r="J32" s="36" t="str">
        <x:v>0x1e9e2…039054</x:v>
      </x:c>
      <x:c r="K32" s="36" t="str">
        <x:v>0xa08ec0b6…b1e66589</x:v>
      </x:c>
      <x:c r="L32" s="36" t="str">
        <x:v>c182db5c…4275e2</x:v>
      </x:c>
      <x:c r="M32" s="36" t="str"/>
      <x:c r="N32" s="42" t="str">
        <x:v>0x515b72ed…28015150</x:v>
      </x:c>
    </x:row>
    <x:row r="33">
      <x:c r="A33" s="35" t="n">
        <x:v>46204.571967592594</x:v>
      </x:c>
      <x:c r="B33" s="35" t="n">
        <x:v>46204.57302083333</x:v>
      </x:c>
      <x:c r="C33" s="36" t="str">
        <x:v>USDT</x:v>
      </x:c>
      <x:c r="D33" s="37" t="n">
        <x:v>48</x:v>
      </x:c>
      <x:c r="E33" s="37" t="n">
        <x:v>0.3</x:v>
      </x:c>
      <x:c r="F33" s="36" t="str">
        <x:v>SOL</x:v>
      </x:c>
      <x:c r="G33" s="36" t="str">
        <x:v>Completed</x:v>
      </x:c>
      <x:c r="H33" s="36" t="str">
        <x:v>External</x:v>
      </x:c>
      <x:c r="I33" s="36" t="str">
        <x:v>Spot</x:v>
      </x:c>
      <x:c r="J33" s="36" t="str">
        <x:v>HorKSsz…2QUi7N</x:v>
      </x:c>
      <x:c r="K33" s="36" t="str">
        <x:v>dxT89tLW3f…Lih2azgo</x:v>
      </x:c>
      <x:c r="L33" s="36" t="str">
        <x:v>869b278d…bccc76</x:v>
      </x:c>
      <x:c r="M33" s="36" t="str"/>
      <x:c r="N33" s="42" t="str">
        <x:v>blockhash:…wT9ur5Wo</x:v>
      </x:c>
    </x:row>
    <x:row r="34">
      <x:c r="A34" s="35" t="n">
        <x:v>46202.91342592592</x:v>
      </x:c>
      <x:c r="B34" s="35" t="n">
        <x:v>46202.91395833333</x:v>
      </x:c>
      <x:c r="C34" s="36" t="str">
        <x:v>USDT</x:v>
      </x:c>
      <x:c r="D34" s="37" t="n">
        <x:v>8</x:v>
      </x:c>
      <x:c r="E34" s="37" t="n">
        <x:v>0.01</x:v>
      </x:c>
      <x:c r="F34" s="36" t="str">
        <x:v>BSC</x:v>
      </x:c>
      <x:c r="G34" s="36" t="str">
        <x:v>Completed</x:v>
      </x:c>
      <x:c r="H34" s="36" t="str">
        <x:v>External</x:v>
      </x:c>
      <x:c r="I34" s="36" t="str">
        <x:v>Spot</x:v>
      </x:c>
      <x:c r="J34" s="36" t="str">
        <x:v>0xBf211…6040cD</x:v>
      </x:c>
      <x:c r="K34" s="36" t="str">
        <x:v>0xc087a902…4842d65f</x:v>
      </x:c>
      <x:c r="L34" s="36" t="str">
        <x:v>d32a12bc…46c34f</x:v>
      </x:c>
      <x:c r="M34" s="36" t="str"/>
      <x:c r="N34" s="42" t="str">
        <x:v>0x161ba15a…29565201</x:v>
      </x:c>
    </x:row>
    <x:row r="35">
      <x:c r="A35" s="35" t="n">
        <x:v>46202.44763888889</x:v>
      </x:c>
      <x:c r="B35" s="35" t="n">
        <x:v>46202.44800925926</x:v>
      </x:c>
      <x:c r="C35" s="36" t="str">
        <x:v>USDT</x:v>
      </x:c>
      <x:c r="D35" s="37" t="n">
        <x:v>2.27</x:v>
      </x:c>
      <x:c r="E35" s="37" t="n">
        <x:v>0.01</x:v>
      </x:c>
      <x:c r="F35" s="36" t="str">
        <x:v>BSC</x:v>
      </x:c>
      <x:c r="G35" s="36" t="str">
        <x:v>Completed</x:v>
      </x:c>
      <x:c r="H35" s="36" t="str">
        <x:v>External</x:v>
      </x:c>
      <x:c r="I35" s="36" t="str">
        <x:v>Spot</x:v>
      </x:c>
      <x:c r="J35" s="36" t="str">
        <x:v>0x454bA…84F7B0</x:v>
      </x:c>
      <x:c r="K35" s="36" t="str">
        <x:v>0xc894e677…22b49a74</x:v>
      </x:c>
      <x:c r="L35" s="36" t="str">
        <x:v>5ece1946…3d536f</x:v>
      </x:c>
      <x:c r="M35" s="36" t="str"/>
      <x:c r="N35" s="42" t="str">
        <x:v>0xa180fe01…38058001</x:v>
      </x:c>
    </x:row>
    <x:row r="36">
      <x:c r="A36" s="35" t="n">
        <x:v>46200.92471064815</x:v>
      </x:c>
      <x:c r="B36" s="35" t="n">
        <x:v>46200.92538194444</x:v>
      </x:c>
      <x:c r="C36" s="36" t="str">
        <x:v>USDT</x:v>
      </x:c>
      <x:c r="D36" s="37" t="n">
        <x:v>0.15653</x:v>
      </x:c>
      <x:c r="E36" s="37" t="n">
        <x:v>0</x:v>
      </x:c>
      <x:c r="F36" s="36" t="str">
        <x:v>BSC</x:v>
      </x:c>
      <x:c r="G36" s="36" t="str">
        <x:v>Completed</x:v>
      </x:c>
      <x:c r="H36" s="36" t="str">
        <x:v>Internal</x:v>
      </x:c>
      <x:c r="I36" s="36" t="str">
        <x:v>Spot</x:v>
      </x:c>
      <x:c r="J36" s="36" t="str">
        <x:v>0x7a02f…8fed1d</x:v>
      </x:c>
      <x:c r="K36" s="36" t="str">
        <x:v>Off-chain …64834753</x:v>
      </x:c>
      <x:c r="L36" s="36" t="str">
        <x:v>dd30297f…16e407</x:v>
      </x:c>
      <x:c r="M36" s="36" t="str"/>
      <x:c r="N36" s="42" t="str"/>
    </x:row>
    <x:row r="37">
      <x:c r="A37" s="35" t="n">
        <x:v>46199.3684375</x:v>
      </x:c>
      <x:c r="B37" s="35" t="n">
        <x:v>46199.36880787037</x:v>
      </x:c>
      <x:c r="C37" s="36" t="str">
        <x:v>USDT</x:v>
      </x:c>
      <x:c r="D37" s="37" t="n">
        <x:v>19.99</x:v>
      </x:c>
      <x:c r="E37" s="37" t="n">
        <x:v>0.01</x:v>
      </x:c>
      <x:c r="F37" s="36" t="str">
        <x:v>BSC</x:v>
      </x:c>
      <x:c r="G37" s="36" t="str">
        <x:v>Completed</x:v>
      </x:c>
      <x:c r="H37" s="36" t="str">
        <x:v>External</x:v>
      </x:c>
      <x:c r="I37" s="36" t="str">
        <x:v>Spot</x:v>
      </x:c>
      <x:c r="J37" s="36" t="str">
        <x:v>0x5a5ef…04dd62</x:v>
      </x:c>
      <x:c r="K37" s="36" t="str">
        <x:v>0xcd176e7f…11d87c29</x:v>
      </x:c>
      <x:c r="L37" s="36" t="str">
        <x:v>0724ad50…5fcfe6</x:v>
      </x:c>
      <x:c r="M37" s="36" t="str"/>
      <x:c r="N37" s="42" t="str">
        <x:v>0xeb2d2f1b…37134455</x:v>
      </x:c>
    </x:row>
    <x:row r="38">
      <x:c r="A38" s="35" t="n">
        <x:v>46198.77809027778</x:v>
      </x:c>
      <x:c r="B38" s="35" t="n">
        <x:v>46198.77851851852</x:v>
      </x:c>
      <x:c r="C38" s="36" t="str">
        <x:v>USDT</x:v>
      </x:c>
      <x:c r="D38" s="37" t="n">
        <x:v>78</x:v>
      </x:c>
      <x:c r="E38" s="37" t="n">
        <x:v>0.01</x:v>
      </x:c>
      <x:c r="F38" s="36" t="str">
        <x:v>BSC</x:v>
      </x:c>
      <x:c r="G38" s="36" t="str">
        <x:v>Completed</x:v>
      </x:c>
      <x:c r="H38" s="36" t="str">
        <x:v>External</x:v>
      </x:c>
      <x:c r="I38" s="36" t="str">
        <x:v>Spot</x:v>
      </x:c>
      <x:c r="J38" s="36" t="str">
        <x:v>0x4dd53…117dd7</x:v>
      </x:c>
      <x:c r="K38" s="36" t="str">
        <x:v>0x3c16d98a…194a2b22</x:v>
      </x:c>
      <x:c r="L38" s="36" t="str">
        <x:v>182c37aa…5c3647</x:v>
      </x:c>
      <x:c r="M38" s="36" t="str"/>
      <x:c r="N38" s="42" t="str">
        <x:v>0xbd612a3f…28166033</x:v>
      </x:c>
    </x:row>
    <x:row r="39">
      <x:c r="A39" s="35" t="n">
        <x:v>46191.71807870371</x:v>
      </x:c>
      <x:c r="B39" s="35" t="n">
        <x:v>46191.71885416667</x:v>
      </x:c>
      <x:c r="C39" s="36" t="str">
        <x:v>USDT</x:v>
      </x:c>
      <x:c r="D39" s="37" t="n">
        <x:v>1.5</x:v>
      </x:c>
      <x:c r="E39" s="37" t="n">
        <x:v>0.01</x:v>
      </x:c>
      <x:c r="F39" s="36" t="str">
        <x:v>BSC</x:v>
      </x:c>
      <x:c r="G39" s="36" t="str">
        <x:v>Completed</x:v>
      </x:c>
      <x:c r="H39" s="36" t="str">
        <x:v>External</x:v>
      </x:c>
      <x:c r="I39" s="36" t="str">
        <x:v>Spot</x:v>
      </x:c>
      <x:c r="J39" s="36" t="str">
        <x:v>0xa046d…02c5bc</x:v>
      </x:c>
      <x:c r="K39" s="36" t="str">
        <x:v>0xd0cf440b…46cf0f02</x:v>
      </x:c>
      <x:c r="L39" s="36" t="str">
        <x:v>efb09209…d113fc</x:v>
      </x:c>
      <x:c r="M39" s="36" t="str"/>
      <x:c r="N39" s="42" t="str">
        <x:v>0x515b72ed…27558008</x:v>
      </x:c>
    </x:row>
    <x:row r="40">
      <x:c r="A40" s="35" t="n">
        <x:v>46189.909212962964</x:v>
      </x:c>
      <x:c r="B40" s="35" t="n">
        <x:v>46189.909837962965</x:v>
      </x:c>
      <x:c r="C40" s="36" t="str">
        <x:v>USDT</x:v>
      </x:c>
      <x:c r="D40" s="37" t="n">
        <x:v>2.19</x:v>
      </x:c>
      <x:c r="E40" s="37" t="n">
        <x:v>0.01</x:v>
      </x:c>
      <x:c r="F40" s="36" t="str">
        <x:v>BSC</x:v>
      </x:c>
      <x:c r="G40" s="36" t="str">
        <x:v>Completed</x:v>
      </x:c>
      <x:c r="H40" s="36" t="str">
        <x:v>External</x:v>
      </x:c>
      <x:c r="I40" s="36" t="str">
        <x:v>Spot</x:v>
      </x:c>
      <x:c r="J40" s="36" t="str">
        <x:v>0x89267…a4628f</x:v>
      </x:c>
      <x:c r="K40" s="36" t="str">
        <x:v>0x78ecbefc…97417cdd</x:v>
      </x:c>
      <x:c r="L40" s="36" t="str">
        <x:v>d987e916…4d7494</x:v>
      </x:c>
      <x:c r="M40" s="36" t="str"/>
      <x:c r="N40" s="42" t="str">
        <x:v>0xeb2d2f1b…36798492</x:v>
      </x:c>
    </x:row>
    <x:row r="41">
      <x:c r="A41" s="35" t="n">
        <x:v>46189.61078703704</x:v>
      </x:c>
      <x:c r="B41" s="35" t="n">
        <x:v>46189.61125</x:v>
      </x:c>
      <x:c r="C41" s="36" t="str">
        <x:v>USDT</x:v>
      </x:c>
      <x:c r="D41" s="37" t="n">
        <x:v>5.02</x:v>
      </x:c>
      <x:c r="E41" s="37" t="n">
        <x:v>0.01</x:v>
      </x:c>
      <x:c r="F41" s="36" t="str">
        <x:v>BSC</x:v>
      </x:c>
      <x:c r="G41" s="36" t="str">
        <x:v>Completed</x:v>
      </x:c>
      <x:c r="H41" s="36" t="str">
        <x:v>External</x:v>
      </x:c>
      <x:c r="I41" s="36" t="str">
        <x:v>Spot</x:v>
      </x:c>
      <x:c r="J41" s="36" t="str">
        <x:v>0x5b303…8b8378</x:v>
      </x:c>
      <x:c r="K41" s="36" t="str">
        <x:v>0xd6e7275f…0d67b542</x:v>
      </x:c>
      <x:c r="L41" s="36" t="str">
        <x:v>5610a0c8…4979b8</x:v>
      </x:c>
      <x:c r="M41" s="36" t="str"/>
      <x:c r="N41" s="42" t="str">
        <x:v>0xbd612a3f…27815444</x:v>
      </x:c>
    </x:row>
    <x:row r="42">
      <x:c r="A42" s="35" t="n">
        <x:v>46187.00767361111</x:v>
      </x:c>
      <x:c r="B42" s="35" t="n">
        <x:v>46187.008425925924</x:v>
      </x:c>
      <x:c r="C42" s="36" t="str">
        <x:v>USDT</x:v>
      </x:c>
      <x:c r="D42" s="37" t="n">
        <x:v>1.79</x:v>
      </x:c>
      <x:c r="E42" s="37" t="n">
        <x:v>0.01</x:v>
      </x:c>
      <x:c r="F42" s="36" t="str">
        <x:v>BSC</x:v>
      </x:c>
      <x:c r="G42" s="36" t="str">
        <x:v>Completed</x:v>
      </x:c>
      <x:c r="H42" s="36" t="str">
        <x:v>External</x:v>
      </x:c>
      <x:c r="I42" s="36" t="str">
        <x:v>Spot</x:v>
      </x:c>
      <x:c r="J42" s="36" t="str">
        <x:v>0xc29cc…fb32d9</x:v>
      </x:c>
      <x:c r="K42" s="36" t="str">
        <x:v>0xa9a879b0…c60bbd98</x:v>
      </x:c>
      <x:c r="L42" s="36" t="str">
        <x:v>b702f11c…2c8ee9</x:v>
      </x:c>
      <x:c r="M42" s="36" t="str"/>
      <x:c r="N42" s="42" t="str">
        <x:v>0x161ba15a…28933756</x:v>
      </x:c>
    </x:row>
    <x:row r="43">
      <x:c r="A43" s="35" t="n">
        <x:v>46184.538518518515</x:v>
      </x:c>
      <x:c r="B43" s="35" t="n">
        <x:v>46184.5399537037</x:v>
      </x:c>
      <x:c r="C43" s="36" t="str">
        <x:v>USDT</x:v>
      </x:c>
      <x:c r="D43" s="37" t="n">
        <x:v>20.2</x:v>
      </x:c>
      <x:c r="E43" s="37" t="n">
        <x:v>0.3</x:v>
      </x:c>
      <x:c r="F43" s="36" t="str">
        <x:v>TON</x:v>
      </x:c>
      <x:c r="G43" s="36" t="str">
        <x:v>Completed</x:v>
      </x:c>
      <x:c r="H43" s="36" t="str">
        <x:v>External</x:v>
      </x:c>
      <x:c r="I43" s="36" t="str">
        <x:v>Spot</x:v>
      </x:c>
      <x:c r="J43" s="36" t="str">
        <x:v>UQBNDiQ…jjviaF</x:v>
      </x:c>
      <x:c r="K43" s="36" t="str">
        <x:v>cfa75c53cb…5240b791</x:v>
      </x:c>
      <x:c r="L43" s="36" t="str">
        <x:v>9cf6a1b7…57cf0e</x:v>
      </x:c>
      <x:c r="M43" s="36" t="str"/>
      <x:c r="N43" s="42" t="str">
        <x:v>TXKtb56IZD…40576297</x:v>
      </x:c>
    </x:row>
    <x:row r="44">
      <x:c r="A44" s="35" t="n">
        <x:v>46178.754282407404</x:v>
      </x:c>
      <x:c r="B44" s="35" t="n">
        <x:v>46178.75491898148</x:v>
      </x:c>
      <x:c r="C44" s="36" t="str">
        <x:v>USDT</x:v>
      </x:c>
      <x:c r="D44" s="37" t="n">
        <x:v>4.990564</x:v>
      </x:c>
      <x:c r="E44" s="37" t="n">
        <x:v>0.01</x:v>
      </x:c>
      <x:c r="F44" s="36" t="str">
        <x:v>BSC</x:v>
      </x:c>
      <x:c r="G44" s="36" t="str">
        <x:v>Completed</x:v>
      </x:c>
      <x:c r="H44" s="36" t="str">
        <x:v>External</x:v>
      </x:c>
      <x:c r="I44" s="36" t="str">
        <x:v>Spot</x:v>
      </x:c>
      <x:c r="J44" s="36" t="str">
        <x:v>0xa89B6…2A36e9</x:v>
      </x:c>
      <x:c r="K44" s="36" t="str">
        <x:v>0x834759a9…ff02c833</x:v>
      </x:c>
      <x:c r="L44" s="36" t="str">
        <x:v>779cc781…93fe2d</x:v>
      </x:c>
      <x:c r="M44" s="36" t="str"/>
      <x:c r="N44" s="42" t="str">
        <x:v>0xa180fe01…37219783</x:v>
      </x:c>
    </x:row>
    <x:row r="45">
      <x:c r="A45" s="35" t="n">
        <x:v>46178.58082175926</x:v>
      </x:c>
      <x:c r="B45" s="35" t="n">
        <x:v>46178.582037037035</x:v>
      </x:c>
      <x:c r="C45" s="36" t="str">
        <x:v>USDT</x:v>
      </x:c>
      <x:c r="D45" s="37" t="n">
        <x:v>5</x:v>
      </x:c>
      <x:c r="E45" s="37" t="n">
        <x:v>0.3</x:v>
      </x:c>
      <x:c r="F45" s="36" t="str">
        <x:v>SOL</x:v>
      </x:c>
      <x:c r="G45" s="36" t="str">
        <x:v>Completed</x:v>
      </x:c>
      <x:c r="H45" s="36" t="str">
        <x:v>External</x:v>
      </x:c>
      <x:c r="I45" s="36" t="str">
        <x:v>Spot</x:v>
      </x:c>
      <x:c r="J45" s="36" t="str">
        <x:v>2CydJuW…m7AzKo</x:v>
      </x:c>
      <x:c r="K45" s="36" t="str">
        <x:v>2K9T1TJCn3…HGa9pK2L</x:v>
      </x:c>
      <x:c r="L45" s="36" t="str">
        <x:v>614fd2be…6b20d6</x:v>
      </x:c>
      <x:c r="M45" s="36" t="str"/>
      <x:c r="N45" s="42" t="str">
        <x:v>blockhash:…osFb848W</x:v>
      </x:c>
    </x:row>
    <x:row r="46">
      <x:c r="A46" s="35" t="n">
        <x:v>46140.42815972222</x:v>
      </x:c>
      <x:c r="B46" s="35" t="n">
        <x:v>46140.42854166667</x:v>
      </x:c>
      <x:c r="C46" s="36" t="str">
        <x:v>USDT</x:v>
      </x:c>
      <x:c r="D46" s="37" t="n">
        <x:v>7.49</x:v>
      </x:c>
      <x:c r="E46" s="37" t="n">
        <x:v>0.01</x:v>
      </x:c>
      <x:c r="F46" s="36" t="str">
        <x:v>BSC</x:v>
      </x:c>
      <x:c r="G46" s="36" t="str">
        <x:v>Completed</x:v>
      </x:c>
      <x:c r="H46" s="36" t="str">
        <x:v>External</x:v>
      </x:c>
      <x:c r="I46" s="36" t="str">
        <x:v>Spot</x:v>
      </x:c>
      <x:c r="J46" s="36" t="str">
        <x:v>0x1e9e2…039054</x:v>
      </x:c>
      <x:c r="K46" s="36" t="str">
        <x:v>0xec48c658…98e28aea</x:v>
      </x:c>
      <x:c r="L46" s="36" t="str">
        <x:v>8e9561dd…9badcc</x:v>
      </x:c>
      <x:c r="M46" s="36" t="str"/>
      <x:c r="N46" s="42" t="str">
        <x:v>0x161ba15a…27232339</x:v>
      </x:c>
    </x:row>
    <x:row r="47">
      <x:c r="A47" s="35" t="n">
        <x:v>46135.61273148148</x:v>
      </x:c>
      <x:c r="B47" s="35" t="n">
        <x:v>46135.61325231481</x:v>
      </x:c>
      <x:c r="C47" s="36" t="str">
        <x:v>USDT</x:v>
      </x:c>
      <x:c r="D47" s="37" t="n">
        <x:v>19.99</x:v>
      </x:c>
      <x:c r="E47" s="37" t="n">
        <x:v>0.01</x:v>
      </x:c>
      <x:c r="F47" s="36" t="str">
        <x:v>BSC</x:v>
      </x:c>
      <x:c r="G47" s="36" t="str">
        <x:v>Completed</x:v>
      </x:c>
      <x:c r="H47" s="36" t="str">
        <x:v>External</x:v>
      </x:c>
      <x:c r="I47" s="36" t="str">
        <x:v>Spot</x:v>
      </x:c>
      <x:c r="J47" s="36" t="str">
        <x:v>0x1e9e2…039054</x:v>
      </x:c>
      <x:c r="K47" s="36" t="str">
        <x:v>0xdce4c0cb…787ac45d</x:v>
      </x:c>
      <x:c r="L47" s="36" t="str">
        <x:v>f4fcc789…869af2</x:v>
      </x:c>
      <x:c r="M47" s="36" t="str"/>
      <x:c r="N47" s="42" t="str">
        <x:v>0xe2fc31f8…48149444</x:v>
      </x:c>
    </x:row>
    <x:row r="48">
      <x:c r="A48" s="35" t="n">
        <x:v>46131.823587962965</x:v>
      </x:c>
      <x:c r="B48" s="35" t="n">
        <x:v>46131.82398148148</x:v>
      </x:c>
      <x:c r="C48" s="36" t="str">
        <x:v>USDT</x:v>
      </x:c>
      <x:c r="D48" s="37" t="n">
        <x:v>2.99</x:v>
      </x:c>
      <x:c r="E48" s="37" t="n">
        <x:v>0.01</x:v>
      </x:c>
      <x:c r="F48" s="36" t="str">
        <x:v>BSC</x:v>
      </x:c>
      <x:c r="G48" s="36" t="str">
        <x:v>Completed</x:v>
      </x:c>
      <x:c r="H48" s="36" t="str">
        <x:v>External</x:v>
      </x:c>
      <x:c r="I48" s="36" t="str">
        <x:v>Spot</x:v>
      </x:c>
      <x:c r="J48" s="36" t="str">
        <x:v>0x1e9e2…039054</x:v>
      </x:c>
      <x:c r="K48" s="36" t="str">
        <x:v>0xb3ef0f39…d42ae717</x:v>
      </x:c>
      <x:c r="L48" s="36" t="str">
        <x:v>31c211cc…2b343e</x:v>
      </x:c>
      <x:c r="M48" s="36" t="str"/>
      <x:c r="N48" s="42" t="str">
        <x:v>0xbd612a3f…25842121</x:v>
      </x:c>
    </x:row>
    <x:row r="49">
      <x:c r="A49" s="35" t="n">
        <x:v>46131.81829861111</x:v>
      </x:c>
      <x:c r="B49" s="35" t="n">
        <x:v>46131.81880787037</x:v>
      </x:c>
      <x:c r="C49" s="36" t="str">
        <x:v>USDT</x:v>
      </x:c>
      <x:c r="D49" s="37" t="n">
        <x:v>19.79</x:v>
      </x:c>
      <x:c r="E49" s="37" t="n">
        <x:v>0.01</x:v>
      </x:c>
      <x:c r="F49" s="36" t="str">
        <x:v>BSC</x:v>
      </x:c>
      <x:c r="G49" s="36" t="str">
        <x:v>Completed</x:v>
      </x:c>
      <x:c r="H49" s="36" t="str">
        <x:v>External</x:v>
      </x:c>
      <x:c r="I49" s="36" t="str">
        <x:v>Spot</x:v>
      </x:c>
      <x:c r="J49" s="36" t="str">
        <x:v>0x1e9e2…039054</x:v>
      </x:c>
      <x:c r="K49" s="36" t="str">
        <x:v>0x92ec1a74…eecff986</x:v>
      </x:c>
      <x:c r="L49" s="36" t="str">
        <x:v>17205801…8f855b</x:v>
      </x:c>
      <x:c r="M49" s="36" t="str"/>
      <x:c r="N49" s="42" t="str">
        <x:v>0x8894e0a0…51295594</x:v>
      </x:c>
    </x:row>
    <x:row r="50">
      <x:c r="A50" s="35" t="n">
        <x:v>46127.06893518518</x:v>
      </x:c>
      <x:c r="B50" s="35" t="n">
        <x:v>46127.069548611114</x:v>
      </x:c>
      <x:c r="C50" s="36" t="str">
        <x:v>USDT</x:v>
      </x:c>
      <x:c r="D50" s="37" t="n">
        <x:v>11.07931535</x:v>
      </x:c>
      <x:c r="E50" s="37" t="n">
        <x:v>0.01</x:v>
      </x:c>
      <x:c r="F50" s="36" t="str">
        <x:v>BSC</x:v>
      </x:c>
      <x:c r="G50" s="36" t="str">
        <x:v>Completed</x:v>
      </x:c>
      <x:c r="H50" s="36" t="str">
        <x:v>External</x:v>
      </x:c>
      <x:c r="I50" s="36" t="str">
        <x:v>Spot</x:v>
      </x:c>
      <x:c r="J50" s="36" t="str">
        <x:v>0x1e9e2…039054</x:v>
      </x:c>
      <x:c r="K50" s="36" t="str">
        <x:v>0xb96711d8…b504155a</x:v>
      </x:c>
      <x:c r="L50" s="36" t="str">
        <x:v>f7923797…804899</x:v>
      </x:c>
      <x:c r="M50" s="36" t="str"/>
      <x:c r="N50" s="42" t="str">
        <x:v>0x8894e0a0…51118924</x:v>
      </x:c>
    </x:row>
    <x:row r="51">
      <x:c r="A51" s="35" t="n">
        <x:v>46064.89881944445</x:v>
      </x:c>
      <x:c r="B51" s="35" t="n">
        <x:v>46064.89939814815</x:v>
      </x:c>
      <x:c r="C51" s="36" t="str">
        <x:v>USDT</x:v>
      </x:c>
      <x:c r="D51" s="37" t="n">
        <x:v>10.54</x:v>
      </x:c>
      <x:c r="E51" s="37" t="n">
        <x:v>0.01</x:v>
      </x:c>
      <x:c r="F51" s="36" t="str">
        <x:v>BSC</x:v>
      </x:c>
      <x:c r="G51" s="36" t="str">
        <x:v>Completed</x:v>
      </x:c>
      <x:c r="H51" s="36" t="str">
        <x:v>External</x:v>
      </x:c>
      <x:c r="I51" s="36" t="str">
        <x:v>Spot</x:v>
      </x:c>
      <x:c r="J51" s="36" t="str">
        <x:v>0x7dee3…436714</x:v>
      </x:c>
      <x:c r="K51" s="36" t="str">
        <x:v>0xe5c1e216…6af81849</x:v>
      </x:c>
      <x:c r="L51" s="36" t="str">
        <x:v>51f1fe84…a17dc3</x:v>
      </x:c>
      <x:c r="M51" s="36" t="str"/>
      <x:c r="N51" s="42" t="str">
        <x:v>0x8894e0a0…49017727</x:v>
      </x:c>
    </x:row>
    <x:row r="52">
      <x:c r="A52" s="35" t="n">
        <x:v>46054.7791087963</x:v>
      </x:c>
      <x:c r="B52" s="35" t="n">
        <x:v>46054.77952546296</x:v>
      </x:c>
      <x:c r="C52" s="36" t="str">
        <x:v>BNB</x:v>
      </x:c>
      <x:c r="D52" s="37" t="n">
        <x:v>0.0148558</x:v>
      </x:c>
      <x:c r="E52" s="37" t="n">
        <x:v>0.00001</x:v>
      </x:c>
      <x:c r="F52" s="36" t="str">
        <x:v>BSC</x:v>
      </x:c>
      <x:c r="G52" s="36" t="str">
        <x:v>Completed</x:v>
      </x:c>
      <x:c r="H52" s="36" t="str">
        <x:v>External</x:v>
      </x:c>
      <x:c r="I52" s="36" t="str">
        <x:v>Spot</x:v>
      </x:c>
      <x:c r="J52" s="36" t="str">
        <x:v>0x7dee3…436714</x:v>
      </x:c>
      <x:c r="K52" s="36" t="str">
        <x:v>0x325bf87b…77772619</x:v>
      </x:c>
      <x:c r="L52" s="36" t="str">
        <x:v>8d345add…f5cf7d</x:v>
      </x:c>
      <x:c r="M52" s="36" t="str"/>
      <x:c r="N52" s="42" t="str">
        <x:v>0x73f5ebe9…,6043072</x:v>
      </x:c>
    </x:row>
    <x:row r="53">
      <x:c r="A53" s="35" t="n">
        <x:v>46054.77091435185</x:v>
      </x:c>
      <x:c r="B53" s="35" t="n">
        <x:v>46054.771631944444</x:v>
      </x:c>
      <x:c r="C53" s="36" t="str">
        <x:v>BNB</x:v>
      </x:c>
      <x:c r="D53" s="37" t="n">
        <x:v>0.00295034</x:v>
      </x:c>
      <x:c r="E53" s="37" t="n">
        <x:v>0.00001</x:v>
      </x:c>
      <x:c r="F53" s="36" t="str">
        <x:v>BSC</x:v>
      </x:c>
      <x:c r="G53" s="36" t="str">
        <x:v>Completed</x:v>
      </x:c>
      <x:c r="H53" s="36" t="str">
        <x:v>External</x:v>
      </x:c>
      <x:c r="I53" s="36" t="str">
        <x:v>Spot</x:v>
      </x:c>
      <x:c r="J53" s="36" t="str">
        <x:v>0x7dee3…436714</x:v>
      </x:c>
      <x:c r="K53" s="36" t="str">
        <x:v>0x5b03aa8a…47ad7bd7</x:v>
      </x:c>
      <x:c r="L53" s="36" t="str">
        <x:v>dfbdc7cb…9f57bb</x:v>
      </x:c>
      <x:c r="M53" s="36" t="str"/>
      <x:c r="N53" s="42" t="str">
        <x:v>0x01c95217…,4492244</x:v>
      </x:c>
    </x:row>
    <x:row r="54">
      <x:c r="A54" s="35" t="n">
        <x:v>45549.966261574074</x:v>
      </x:c>
      <x:c r="B54" s="35" t="n">
        <x:v>45549.96854166667</x:v>
      </x:c>
      <x:c r="C54" s="36" t="str">
        <x:v>USDT</x:v>
      </x:c>
      <x:c r="D54" s="37" t="n">
        <x:v>15.40441</x:v>
      </x:c>
      <x:c r="E54" s="37" t="n">
        <x:v>0.3</x:v>
      </x:c>
      <x:c r="F54" s="36" t="str">
        <x:v>TON</x:v>
      </x:c>
      <x:c r="G54" s="36" t="str">
        <x:v>Completed</x:v>
      </x:c>
      <x:c r="H54" s="36" t="str">
        <x:v>External</x:v>
      </x:c>
      <x:c r="I54" s="36" t="str">
        <x:v>Spot</x:v>
      </x:c>
      <x:c r="J54" s="36" t="str">
        <x:v>UQAOLij…qXi8pK</x:v>
      </x:c>
      <x:c r="K54" s="36" t="str">
        <x:v>2150a6debd…bdf998b2</x:v>
      </x:c>
      <x:c r="L54" s="36" t="str">
        <x:v>55556f9b…d0be0f</x:v>
      </x:c>
      <x:c r="M54" s="36" t="str"/>
      <x:c r="N54" s="42" t="str">
        <x:v>huukHvHimw…70854553</x:v>
      </x:c>
    </x:row>
    <x:row r="55">
      <x:c r="A55" s="35" t="n">
        <x:v>45547.97802083333</x:v>
      </x:c>
      <x:c r="B55" s="35" t="n">
        <x:v>45547.981041666666</x:v>
      </x:c>
      <x:c r="C55" s="36" t="str">
        <x:v>USDT</x:v>
      </x:c>
      <x:c r="D55" s="37" t="n">
        <x:v>6.7</x:v>
      </x:c>
      <x:c r="E55" s="37" t="n">
        <x:v>0.3</x:v>
      </x:c>
      <x:c r="F55" s="36" t="str">
        <x:v>TON</x:v>
      </x:c>
      <x:c r="G55" s="36" t="str">
        <x:v>Completed</x:v>
      </x:c>
      <x:c r="H55" s="36" t="str">
        <x:v>External</x:v>
      </x:c>
      <x:c r="I55" s="36" t="str">
        <x:v>Spot</x:v>
      </x:c>
      <x:c r="J55" s="36" t="str">
        <x:v>UQAOLij…qXi8pK</x:v>
      </x:c>
      <x:c r="K55" s="36" t="str">
        <x:v>28a19a356c…bbe53115</x:v>
      </x:c>
      <x:c r="L55" s="36" t="str">
        <x:v>9d418f3e…9d6dab</x:v>
      </x:c>
      <x:c r="M55" s="36" t="str"/>
      <x:c r="N55" s="42" t="str">
        <x:v>XsOa0iLlJv…46371851</x:v>
      </x:c>
    </x:row>
    <x:row r="56">
      <x:c r="A56" s="35" t="n">
        <x:v>45544.838425925926</x:v>
      </x:c>
      <x:c r="B56" s="35" t="n">
        <x:v>45544.84354166667</x:v>
      </x:c>
      <x:c r="C56" s="36" t="str">
        <x:v>USDT</x:v>
      </x:c>
      <x:c r="D56" s="37" t="n">
        <x:v>5.7</x:v>
      </x:c>
      <x:c r="E56" s="37" t="n">
        <x:v>0.3</x:v>
      </x:c>
      <x:c r="F56" s="36" t="str">
        <x:v>TON</x:v>
      </x:c>
      <x:c r="G56" s="36" t="str">
        <x:v>Completed</x:v>
      </x:c>
      <x:c r="H56" s="36" t="str">
        <x:v>External</x:v>
      </x:c>
      <x:c r="I56" s="36" t="str">
        <x:v>Spot</x:v>
      </x:c>
      <x:c r="J56" s="36" t="str">
        <x:v>UQAOLij…qXi8pK</x:v>
      </x:c>
      <x:c r="K56" s="36" t="str">
        <x:v>942cc78488…adfde6a7</x:v>
      </x:c>
      <x:c r="L56" s="36" t="str">
        <x:v>839d86fa…b86871</x:v>
      </x:c>
      <x:c r="M56" s="36" t="str"/>
      <x:c r="N56" s="42" t="str">
        <x:v>jt01L9pqur…34171777</x:v>
      </x:c>
    </x:row>
    <x:row r="57">
      <x:c r="A57" s="35" t="n">
        <x:v>45544.5012037037</x:v>
      </x:c>
      <x:c r="B57" s="35" t="n">
        <x:v>45544.50256944444</x:v>
      </x:c>
      <x:c r="C57" s="36" t="str">
        <x:v>USDT</x:v>
      </x:c>
      <x:c r="D57" s="37" t="n">
        <x:v>0.077</x:v>
      </x:c>
      <x:c r="E57" s="37" t="n">
        <x:v>0.023</x:v>
      </x:c>
      <x:c r="F57" s="36" t="str">
        <x:v>OPTIMISM</x:v>
      </x:c>
      <x:c r="G57" s="36" t="str">
        <x:v>Completed</x:v>
      </x:c>
      <x:c r="H57" s="36" t="str">
        <x:v>External</x:v>
      </x:c>
      <x:c r="I57" s="36" t="str">
        <x:v>Spot</x:v>
      </x:c>
      <x:c r="J57" s="36" t="str">
        <x:v>0xd763a…db136b</x:v>
      </x:c>
      <x:c r="K57" s="36" t="str">
        <x:v>0x812f132e…4e8b48de</x:v>
      </x:c>
      <x:c r="L57" s="36" t="str">
        <x:v>50e241c7…6207f9</x:v>
      </x:c>
      <x:c r="M57" s="36" t="str"/>
      <x:c r="N57" s="42" t="str">
        <x:v>0xacd03d60…,3779439</x:v>
      </x:c>
    </x:row>
    <x:row r="58">
      <x:c r="A58" s="38" t="n">
        <x:v>45507.683171296296</x:v>
      </x:c>
      <x:c r="B58" s="38" t="n">
        <x:v>45507.68450231481</x:v>
      </x:c>
      <x:c r="C58" s="39" t="str">
        <x:v>USDT</x:v>
      </x:c>
      <x:c r="D58" s="40" t="n">
        <x:v>13.381601</x:v>
      </x:c>
      <x:c r="E58" s="40" t="n">
        <x:v>1</x:v>
      </x:c>
      <x:c r="F58" s="39" t="str">
        <x:v>TON</x:v>
      </x:c>
      <x:c r="G58" s="39" t="str">
        <x:v>Completed</x:v>
      </x:c>
      <x:c r="H58" s="39" t="str">
        <x:v>External</x:v>
      </x:c>
      <x:c r="I58" s="39" t="str">
        <x:v>Spot</x:v>
      </x:c>
      <x:c r="J58" s="39" t="str">
        <x:v>UQAOLij…qXi8pK</x:v>
      </x:c>
      <x:c r="K58" s="39" t="str">
        <x:v>f5062bf4fa…45bcde26</x:v>
      </x:c>
      <x:c r="L58" s="39" t="str">
        <x:v>ba287494…d18458</x:v>
      </x:c>
      <x:c r="M58" s="39" t="str"/>
      <x:c r="N58" s="43" t="str">
        <x:v>A3EGNkz7hQ…0h,27123</x:v>
      </x:c>
    </x:row>
  </x:sheetData>
  <x:mergeCells>
    <x:mergeCell ref="A1:N1"/>
    <x:mergeCell ref="A2:N2"/>
  </x:mergeCells>
  <x:conditionalFormatting sqref="G5:G58">
    <x:cfRule type="containsText" dxfId="0" priority="1" operator="containsText" text="Completed"/>
    <x:cfRule type="containsText" dxfId="1" priority="2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e2331fc39a6040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72" hidden="0" customWidth="1"/>
    <x:col min="4" max="4" width="46" hidden="0" customWidth="1"/>
  </x:cols>
  <x:sheetData>
    <x:row r="1">
      <x:c r="A1" s="25" t="str">
        <x:v>Sources &amp; Audit Notes</x:v>
      </x:c>
      <x:c r="B1" s="25" t="str">
        <x:v>Sources &amp; Audit Notes</x:v>
      </x:c>
      <x:c r="C1" s="25" t="str">
        <x:v>Sources &amp; Audit Notes</x:v>
      </x:c>
      <x:c r="D1" s="25" t="str">
        <x:v>Sources &amp; Audit Notes</x:v>
      </x:c>
    </x:row>
    <x:row r="3">
      <x:c r="A3" s="48" t="str">
        <x:v>Item</x:v>
      </x:c>
      <x:c r="B3" s="48" t="str">
        <x:v>Value</x:v>
      </x:c>
      <x:c r="C3" s="48" t="str">
        <x:v>Source</x:v>
      </x:c>
      <x:c r="D3" s="48" t="str">
        <x:v>Notes</x:v>
      </x:c>
    </x:row>
    <x:row r="4">
      <x:c r="A4" s="49" t="str">
        <x:v>Endpoint</x:v>
      </x:c>
      <x:c r="B4" s="49" t="str">
        <x:v>/sapi/v1/capital/withdraw/history</x:v>
      </x:c>
      <x:c r="C4" s="49" t="str">
        <x:v>https://developers.binance.com/en/docs/catalog/core-trading-wallet/api/rest-api/capital#withdraw-history</x:v>
      </x:c>
      <x:c r="D4" s="49" t="str">
        <x:v>Official signed USER_DATA endpoint</x:v>
      </x:c>
    </x:row>
    <x:row r="5">
      <x:c r="A5" s="49" t="str">
        <x:v>Retrieval timestamp</x:v>
      </x:c>
      <x:c r="B5" s="50" t="n">
        <x:v>46245.93533046296</x:v>
      </x:c>
      <x:c r="C5" s="49" t="str">
        <x:v>Binance API</x:v>
      </x:c>
      <x:c r="D5" s="49" t="str">
        <x:v>UTC</x:v>
      </x:c>
    </x:row>
    <x:row r="6">
      <x:c r="A6" s="49" t="str">
        <x:v>Requested period</x:v>
      </x:c>
      <x:c r="B6" s="49" t="str">
        <x:v>2017-07-01T00:00:00+00:00 to 2026-08-11T22:26:29.141491+00:00</x:v>
      </x:c>
      <x:c r="C6" s="49" t="str">
        <x:v>Binance API</x:v>
      </x:c>
      <x:c r="D6" s="49" t="str">
        <x:v>Consecutive 89-day windows</x:v>
      </x:c>
    </x:row>
    <x:row r="7">
      <x:c r="A7" s="49" t="str">
        <x:v>API requests</x:v>
      </x:c>
      <x:c r="B7" s="49" t="n">
        <x:v>38</x:v>
      </x:c>
      <x:c r="C7" s="49" t="str">
        <x:v>Local retrieval log</x:v>
      </x:c>
      <x:c r="D7" s="49" t="str">
        <x:v>Pages of up to 1,000 records; deduplicated by withdrawal ID</x:v>
      </x:c>
    </x:row>
    <x:row r="8">
      <x:c r="A8" s="51" t="str">
        <x:v>Privacy</x:v>
      </x:c>
      <x:c r="B8" s="51" t="str">
        <x:v>Masked export</x:v>
      </x:c>
      <x:c r="C8" s="51" t="str">
        <x:v>Local processing</x:v>
      </x:c>
      <x:c r="D8" s="51" t="str">
        <x:v>No API credentials stored; destination and transaction identifiers masked</x:v>
      </x:c>
    </x:row>
  </x:sheetData>
  <x:mergeCells>
    <x:mergeCell ref="A1:D1"/>
  </x:mergeCells>
  <x:pageMargins left="0.7" right="0.7" top="0.75" bottom="0.75" header="0.3" footer="0.3"/>
</x:worksheet>
</file>